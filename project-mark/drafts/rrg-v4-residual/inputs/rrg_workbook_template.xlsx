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RRG evaluation workbook - template (board analysts, March 2026). Scenario artifact authored for this exercise.</t>
        </is>
      </c>
    </row>
    <row r="2">
      <c r="A2" t="inlineStr">
        <is>
          <t>Paste Vintage 2025 values from co-est2025-alldata.csv into the blue cells. Domestically sourced growth is the year's population change with net international migration taken out.</t>
        </is>
      </c>
    </row>
    <row r="4">
      <c r="A4" s="1" t="inlineStr">
        <is>
          <t>Area</t>
        </is>
      </c>
      <c r="B4" s="1" t="inlineStr">
        <is>
          <t>POPESTIMATE2022</t>
        </is>
      </c>
      <c r="C4" s="1" t="inlineStr">
        <is>
          <t>POPESTIMATE2023</t>
        </is>
      </c>
      <c r="D4" s="1" t="inlineStr">
        <is>
          <t>POPESTIMATE2024</t>
        </is>
      </c>
      <c r="E4" s="1" t="inlineStr">
        <is>
          <t>POPESTIMATE2025</t>
        </is>
      </c>
      <c r="F4" s="1" t="inlineStr">
        <is>
          <t>NPOPCHG2023</t>
        </is>
      </c>
      <c r="G4" s="1" t="inlineStr">
        <is>
          <t>NPOPCHG2024</t>
        </is>
      </c>
      <c r="H4" s="1" t="inlineStr">
        <is>
          <t>NPOPCHG2025</t>
        </is>
      </c>
      <c r="I4" s="1" t="inlineStr">
        <is>
          <t>INTERNATIONALMIG2023</t>
        </is>
      </c>
      <c r="J4" s="1" t="inlineStr">
        <is>
          <t>INTERNATIONALMIG2024</t>
        </is>
      </c>
      <c r="K4" s="1" t="inlineStr">
        <is>
          <t>INTERNATIONALMIG2025</t>
        </is>
      </c>
      <c r="L4" s="1" t="inlineStr">
        <is>
          <t>NATURALCHG2023</t>
        </is>
      </c>
      <c r="M4" s="1" t="inlineStr">
        <is>
          <t>NATURALCHG2024</t>
        </is>
      </c>
      <c r="N4" s="1" t="inlineStr">
        <is>
          <t>NATURALCHG2025</t>
        </is>
      </c>
    </row>
    <row r="5">
      <c r="A5" t="inlineStr">
        <is>
          <t>Dallas County (48113)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t="inlineStr">
        <is>
          <t>Texas (state row, SUMLEV 040)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Start-of-year residents</t>
        </is>
      </c>
      <c r="D1" s="1" t="inlineStr">
        <is>
          <t>Domestically sourced growth per 1,000</t>
        </is>
      </c>
      <c r="E1" s="1" t="inlineStr">
        <is>
          <t>Natural change per 1,000</t>
        </is>
      </c>
      <c r="F1" s="1" t="inlineStr">
        <is>
          <t>Domestic migration per 1,000</t>
        </is>
      </c>
    </row>
    <row r="2">
      <c r="A2" t="inlineStr">
        <is>
          <t>Dallas County</t>
        </is>
      </c>
      <c r="B2" t="inlineStr">
        <is>
          <t>Check year 2022-23</t>
        </is>
      </c>
      <c r="C2">
        <f>Inputs!B5</f>
        <v/>
      </c>
      <c r="D2">
        <f>(Inputs!F5-Inputs!I5)/C2*1000</f>
        <v/>
      </c>
      <c r="E2">
        <f>Inputs!L5/C2*1000</f>
        <v/>
      </c>
      <c r="F2">
        <f>D2-E2</f>
        <v/>
      </c>
    </row>
    <row r="3">
      <c r="A3" t="inlineStr">
        <is>
          <t>Dallas County</t>
        </is>
      </c>
      <c r="B3" t="inlineStr">
        <is>
          <t>Base year 2023-24</t>
        </is>
      </c>
      <c r="C3">
        <f>Inputs!C5</f>
        <v/>
      </c>
      <c r="D3">
        <f>(Inputs!G5-Inputs!J5)/C3*1000</f>
        <v/>
      </c>
      <c r="E3">
        <f>Inputs!M5/C3*1000</f>
        <v/>
      </c>
      <c r="F3">
        <f>D3-E3</f>
        <v/>
      </c>
    </row>
    <row r="4">
      <c r="A4" t="inlineStr">
        <is>
          <t>Dallas County</t>
        </is>
      </c>
      <c r="B4" t="inlineStr">
        <is>
          <t>Program year 2024-25</t>
        </is>
      </c>
      <c r="C4">
        <f>Inputs!D5</f>
        <v/>
      </c>
      <c r="D4">
        <f>(Inputs!H5-Inputs!K5)/C4*1000</f>
        <v/>
      </c>
      <c r="E4">
        <f>Inputs!N5/C4*1000</f>
        <v/>
      </c>
      <c r="F4">
        <f>D4-E4</f>
        <v/>
      </c>
    </row>
    <row r="5">
      <c r="A5" t="inlineStr">
        <is>
          <t>Rest of Texas</t>
        </is>
      </c>
      <c r="B5" t="inlineStr">
        <is>
          <t>Check year 2022-23</t>
        </is>
      </c>
      <c r="C5">
        <f>(Inputs!B6-Inputs!B5)</f>
        <v/>
      </c>
      <c r="D5">
        <f>((Inputs!F6-Inputs!F5)-(Inputs!I6-Inputs!I5))/C5*1000</f>
        <v/>
      </c>
      <c r="E5">
        <f>(Inputs!L6-Inputs!L5)/C5*1000</f>
        <v/>
      </c>
      <c r="F5">
        <f>D5-E5</f>
        <v/>
      </c>
    </row>
    <row r="6">
      <c r="A6" t="inlineStr">
        <is>
          <t>Rest of Texas</t>
        </is>
      </c>
      <c r="B6" t="inlineStr">
        <is>
          <t>Base year 2023-24</t>
        </is>
      </c>
      <c r="C6">
        <f>(Inputs!C6-Inputs!C5)</f>
        <v/>
      </c>
      <c r="D6">
        <f>((Inputs!G6-Inputs!G5)-(Inputs!J6-Inputs!J5))/C6*1000</f>
        <v/>
      </c>
      <c r="E6">
        <f>(Inputs!M6-Inputs!M5)/C6*1000</f>
        <v/>
      </c>
      <c r="F6">
        <f>D6-E6</f>
        <v/>
      </c>
    </row>
    <row r="7">
      <c r="A7" t="inlineStr">
        <is>
          <t>Rest of Texas</t>
        </is>
      </c>
      <c r="B7" t="inlineStr">
        <is>
          <t>Program year 2024-25</t>
        </is>
      </c>
      <c r="C7">
        <f>(Inputs!D6-Inputs!D5)</f>
        <v/>
      </c>
      <c r="D7">
        <f>((Inputs!H6-Inputs!H5)-(Inputs!K6-Inputs!K5))/C7*1000</f>
        <v/>
      </c>
      <c r="E7">
        <f>(Inputs!N6-Inputs!N5)/C7*1000</f>
        <v/>
      </c>
      <c r="F7">
        <f>D7-E7</f>
        <v/>
      </c>
    </row>
    <row r="10">
      <c r="A10" s="1" t="inlineStr">
        <is>
          <t>Effect (program year vs base year)</t>
        </is>
      </c>
      <c r="B10">
        <f>(D4-D3)-(D7-D6)</f>
        <v/>
      </c>
    </row>
    <row r="11">
      <c r="A11" s="1" t="inlineStr">
        <is>
          <t>Parallel-movement check (base year vs check year)</t>
        </is>
      </c>
      <c r="B11">
        <f>(D3-D2)-(D6-D5)</f>
        <v/>
      </c>
    </row>
    <row r="12">
      <c r="A12" t="inlineStr">
        <is>
          <t>Bar</t>
        </is>
      </c>
      <c r="B12" t="n">
        <v>1.8</v>
      </c>
    </row>
    <row r="13">
      <c r="A13" t="inlineStr">
        <is>
          <t>Limit</t>
        </is>
      </c>
      <c r="B13" t="n">
        <v>1.5</v>
      </c>
    </row>
    <row r="14">
      <c r="A14" s="1" t="inlineStr">
        <is>
          <t>Decision</t>
        </is>
      </c>
      <c r="B14">
        <f>IF(AND(ABS(B11)&lt;=B13,B10&gt;=B12),"Extend","Lapse")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2026-10-08T08:10:47Z</dcterms:created>
  <dcterms:modified xmlns:dcterms="http://purl.org/dc/terms/" xmlns:xsi="http://www.w3.org/2001/XMLSchema-instance" xsi:type="dcterms:W3CDTF">2026-10-08T08:10:47Z</dcterms:modified>
</cp:coreProperties>
</file>