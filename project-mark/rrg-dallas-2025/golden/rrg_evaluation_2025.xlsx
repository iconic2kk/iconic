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valuatio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<sst xmlns="http://schemas.openxmlformats.org/spreadsheetml/2006/main" count="51" uniqueCount="38">
  <si>
    <t xml:space="preserve">RRG evaluation on Census Vintage 2025 (co-est2025-alldata): domestically sourced growth per 1,000 residents at the start of each estimate year</t>
  </si>
  <si>
    <t xml:space="preserve">Area</t>
  </si>
  <si>
    <t xml:space="preserve">Year</t>
  </si>
  <si>
    <t xml:space="preserve">Estimate year</t>
  </si>
  <si>
    <t xml:space="preserve">Start-of-year population</t>
  </si>
  <si>
    <t xml:space="preserve">Natural change</t>
  </si>
  <si>
    <t xml:space="preserve">Net domestic migration</t>
  </si>
  <si>
    <t xml:space="preserve">Natural change per 1,000</t>
  </si>
  <si>
    <t xml:space="preserve">Domestic migration per 1,000</t>
  </si>
  <si>
    <t xml:space="preserve">Domestically sourced growth per 1,000</t>
  </si>
  <si>
    <t xml:space="preserve">Dallas County</t>
  </si>
  <si>
    <t xml:space="preserve">Check year</t>
  </si>
  <si>
    <t xml:space="preserve">1 Jul 2022 to 1 Jul 2023</t>
  </si>
  <si>
    <t xml:space="preserve">Base year</t>
  </si>
  <si>
    <t xml:space="preserve">1 Jul 2023 to 1 Jul 2024</t>
  </si>
  <si>
    <t xml:space="preserve">Program year</t>
  </si>
  <si>
    <t xml:space="preserve">1 Jul 2024 to 1 Jul 2025</t>
  </si>
  <si>
    <t xml:space="preserve">Rest of Texas</t>
  </si>
  <si>
    <t xml:space="preserve">Effect (program year vs base year)</t>
  </si>
  <si>
    <t xml:space="preserve">points per 1,000</t>
  </si>
  <si>
    <t xml:space="preserve">  of which natural change</t>
  </si>
  <si>
    <t xml:space="preserve">  of which domestic migration</t>
  </si>
  <si>
    <t xml:space="preserve">Bar (section 7)</t>
  </si>
  <si>
    <t xml:space="preserve">Effect less bar</t>
  </si>
  <si>
    <t xml:space="preserve">Parallel-movement check (base year vs check year)</t>
  </si>
  <si>
    <t xml:space="preserve">Limit (section 6)</t>
  </si>
  <si>
    <t xml:space="preserve">Inside the limit by</t>
  </si>
  <si>
    <t xml:space="preserve">Decision (section 7)</t>
  </si>
  <si>
    <t xml:space="preserve">Annex A reproduction (check year, one decimal)</t>
  </si>
  <si>
    <t xml:space="preserve">Compiled</t>
  </si>
  <si>
    <t xml:space="preserve">Annex A</t>
  </si>
  <si>
    <t xml:space="preserve">Gap</t>
  </si>
  <si>
    <t xml:space="preserve">Source: U.S. Census Bureau, Vintage 2025 county population estimates, co-est2025-alldata.csv, as published. All three years from this one release.</t>
  </si>
  <si>
    <t xml:space="preserve">Rest of Texas: the 253 Texas counties other than Dallas County (48113), counts summed before the rate is formed (equals the Texas state row less Dallas County).</t>
  </si>
  <si>
    <t xml:space="preserve">Numerator: NATURALCHG + DOMESTICMIG for the estimate year. International migration (INTERNATIONALMIG) and the Census residual (RESIDUAL) are not part of the board's measure.</t>
  </si>
  <si>
    <t xml:space="preserve">Denominator: the 1 July resident population that opens the estimate year (POPESTIMATE of the previous year). This is the only basis that reproduces Annex A (-6.2, +13.2, 19.5).</t>
  </si>
  <si>
    <t xml:space="preserve">Census's published rate columns (RNATURALCHG, RDOMESTICMIG) divide by the average of the opening and closing July populations; on that basis the effect is 1.787, below the bar. It does not reproduce Annex A and is not the board's calculation.</t>
  </si>
  <si>
    <t xml:space="preserve">Total population change, which includes international migration, gives an effect of -4.426; the agreement excludes international migration.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</si>
</sst>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F3F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2" style="0" width="17"/>
  </cols>
  <sheetData>
    <row r="1" customFormat="false" ht="15" hidden="false" customHeight="false" outlineLevel="0" collapsed="false">
      <c r="A1" s="1" t="s">
        <v>0</v>
      </c>
    </row>
    <row r="3" customFormat="false" ht="41.7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3" t="n">
        <v>2613911</v>
      </c>
      <c r="E4" s="3" t="n">
        <v>19487</v>
      </c>
      <c r="F4" s="3" t="n">
        <v>-35789</v>
      </c>
      <c r="G4" s="4" t="n">
        <f aca="false">E4/D4*1000</f>
        <v>7.45511228194074</v>
      </c>
      <c r="H4" s="4" t="n">
        <f aca="false">F4/D4*1000</f>
        <v>-13.6917439040579</v>
      </c>
      <c r="I4" s="4" t="n">
        <f aca="false">G4+H4</f>
        <v>-6.2366316221172</v>
      </c>
    </row>
    <row r="5" customFormat="false" ht="15" hidden="false" customHeight="false" outlineLevel="0" collapsed="false">
      <c r="A5" s="0" t="s">
        <v>10</v>
      </c>
      <c r="B5" s="0" t="s">
        <v>13</v>
      </c>
      <c r="C5" s="0" t="s">
        <v>14</v>
      </c>
      <c r="D5" s="3" t="n">
        <v>2637393</v>
      </c>
      <c r="E5" s="3" t="n">
        <v>19074</v>
      </c>
      <c r="F5" s="3" t="n">
        <v>-48472</v>
      </c>
      <c r="G5" s="4" t="n">
        <f aca="false">E5/D5*1000</f>
        <v>7.23214173996822</v>
      </c>
      <c r="H5" s="4" t="n">
        <f aca="false">F5/D5*1000</f>
        <v>-18.3787550812488</v>
      </c>
      <c r="I5" s="4" t="n">
        <f aca="false">G5+H5</f>
        <v>-11.1466133412806</v>
      </c>
    </row>
    <row r="6" customFormat="false" ht="15" hidden="false" customHeight="false" outlineLevel="0" collapsed="false">
      <c r="A6" s="0" t="s">
        <v>10</v>
      </c>
      <c r="B6" s="0" t="s">
        <v>15</v>
      </c>
      <c r="C6" s="0" t="s">
        <v>16</v>
      </c>
      <c r="D6" s="3" t="n">
        <v>2664013</v>
      </c>
      <c r="E6" s="3" t="n">
        <v>19113</v>
      </c>
      <c r="F6" s="3" t="n">
        <v>-46226</v>
      </c>
      <c r="G6" s="4" t="n">
        <f aca="false">E6/D6*1000</f>
        <v>7.1745145387804</v>
      </c>
      <c r="H6" s="4" t="n">
        <f aca="false">F6/D6*1000</f>
        <v>-17.3520174263414</v>
      </c>
      <c r="I6" s="4" t="n">
        <f aca="false">G6+H6</f>
        <v>-10.177502887561</v>
      </c>
    </row>
    <row r="7" customFormat="false" ht="15" hidden="false" customHeight="false" outlineLevel="0" collapsed="false">
      <c r="A7" s="0" t="s">
        <v>17</v>
      </c>
      <c r="B7" s="0" t="s">
        <v>11</v>
      </c>
      <c r="C7" s="0" t="s">
        <v>12</v>
      </c>
      <c r="D7" s="3" t="n">
        <v>27504091</v>
      </c>
      <c r="E7" s="3" t="n">
        <v>139196</v>
      </c>
      <c r="F7" s="3" t="n">
        <v>224456</v>
      </c>
      <c r="G7" s="4" t="n">
        <f aca="false">E7/D7*1000</f>
        <v>5.06091984643303</v>
      </c>
      <c r="H7" s="4" t="n">
        <f aca="false">F7/D7*1000</f>
        <v>8.16082233003083</v>
      </c>
      <c r="I7" s="4" t="n">
        <f aca="false">G7+H7</f>
        <v>13.2217421764639</v>
      </c>
    </row>
    <row r="8" customFormat="false" ht="15" hidden="false" customHeight="false" outlineLevel="0" collapsed="false">
      <c r="A8" s="0" t="s">
        <v>17</v>
      </c>
      <c r="B8" s="0" t="s">
        <v>13</v>
      </c>
      <c r="C8" s="0" t="s">
        <v>14</v>
      </c>
      <c r="D8" s="3" t="n">
        <v>28081854</v>
      </c>
      <c r="E8" s="3" t="n">
        <v>138292</v>
      </c>
      <c r="F8" s="3" t="n">
        <v>134539</v>
      </c>
      <c r="G8" s="4" t="n">
        <f aca="false">E8/D8*1000</f>
        <v>4.92460362481765</v>
      </c>
      <c r="H8" s="4" t="n">
        <f aca="false">F8/D8*1000</f>
        <v>4.79095860266206</v>
      </c>
      <c r="I8" s="4" t="n">
        <f aca="false">G8+H8</f>
        <v>9.71556222747971</v>
      </c>
    </row>
    <row r="9" customFormat="false" ht="15" hidden="false" customHeight="false" outlineLevel="0" collapsed="false">
      <c r="A9" s="0" t="s">
        <v>17</v>
      </c>
      <c r="B9" s="0" t="s">
        <v>15</v>
      </c>
      <c r="C9" s="0" t="s">
        <v>16</v>
      </c>
      <c r="D9" s="3" t="n">
        <v>28654565</v>
      </c>
      <c r="E9" s="3" t="n">
        <v>138598</v>
      </c>
      <c r="F9" s="3" t="n">
        <v>113525</v>
      </c>
      <c r="G9" s="4" t="n">
        <f aca="false">E9/D9*1000</f>
        <v>4.83685583780455</v>
      </c>
      <c r="H9" s="4" t="n">
        <f aca="false">F9/D9*1000</f>
        <v>3.96184691688741</v>
      </c>
      <c r="I9" s="4" t="n">
        <f aca="false">G9+H9</f>
        <v>8.79870275469197</v>
      </c>
    </row>
    <row r="12" customFormat="false" ht="15" hidden="false" customHeight="false" outlineLevel="0" collapsed="false">
      <c r="A12" s="5" t="s">
        <v>18</v>
      </c>
      <c r="B12" s="4" t="n">
        <f aca="false">(I6-I5)-(I9-I8)</f>
        <v>1.88596992650733</v>
      </c>
      <c r="C12" s="6" t="s">
        <v>19</v>
      </c>
    </row>
    <row r="13" customFormat="false" ht="15" hidden="false" customHeight="false" outlineLevel="0" collapsed="false">
      <c r="A13" s="0" t="s">
        <v>20</v>
      </c>
      <c r="B13" s="4" t="n">
        <f aca="false">(G6-G5)-(G9-G8)</f>
        <v>0.0301205858252818</v>
      </c>
    </row>
    <row r="14" customFormat="false" ht="15" hidden="false" customHeight="false" outlineLevel="0" collapsed="false">
      <c r="A14" s="0" t="s">
        <v>21</v>
      </c>
      <c r="B14" s="4" t="n">
        <f aca="false">(H6-H5)-(H9-H8)</f>
        <v>1.85584934068205</v>
      </c>
    </row>
    <row r="15" customFormat="false" ht="15" hidden="false" customHeight="false" outlineLevel="0" collapsed="false">
      <c r="A15" s="0" t="s">
        <v>22</v>
      </c>
      <c r="B15" s="0" t="n">
        <v>1.8</v>
      </c>
    </row>
    <row r="16" customFormat="false" ht="15" hidden="false" customHeight="false" outlineLevel="0" collapsed="false">
      <c r="A16" s="0" t="s">
        <v>23</v>
      </c>
      <c r="B16" s="4" t="n">
        <f aca="false">B12-B15</f>
        <v>0.0859699265073324</v>
      </c>
    </row>
    <row r="18" customFormat="false" ht="15" hidden="false" customHeight="false" outlineLevel="0" collapsed="false">
      <c r="A18" s="5" t="s">
        <v>24</v>
      </c>
      <c r="B18" s="4" t="n">
        <f aca="false">(I5-I4)-(I8-I7)</f>
        <v>-1.40380177017922</v>
      </c>
    </row>
    <row r="19" customFormat="false" ht="15" hidden="false" customHeight="false" outlineLevel="0" collapsed="false">
      <c r="A19" s="0" t="s">
        <v>25</v>
      </c>
      <c r="B19" s="0" t="n">
        <v>1.5</v>
      </c>
    </row>
    <row r="20" customFormat="false" ht="15" hidden="false" customHeight="false" outlineLevel="0" collapsed="false">
      <c r="A20" s="0" t="s">
        <v>26</v>
      </c>
      <c r="B20" s="4" t="n">
        <f aca="false">B19-ABS(B18)</f>
        <v>0.0961982298207778</v>
      </c>
    </row>
    <row r="22" customFormat="false" ht="15" hidden="false" customHeight="false" outlineLevel="0" collapsed="false">
      <c r="A22" s="5" t="s">
        <v>27</v>
      </c>
      <c r="B22" s="0" t="str">
        <f aca="false">IF(AND(ABS(B18)&lt;=B19,B12&gt;=B15),"Extend for a second term (1 Jul 2027 to 30 Jun 2030)","Lapse at end of first term (30 Jun 2027)")</f>
        <v>Extend for a second term (1 Jul 2027 to 30 Jun 2030)</v>
      </c>
    </row>
    <row r="24" customFormat="false" ht="15" hidden="false" customHeight="false" outlineLevel="0" collapsed="false">
      <c r="A24" s="5" t="s">
        <v>28</v>
      </c>
      <c r="B24" s="6" t="s">
        <v>29</v>
      </c>
      <c r="C24" s="6" t="s">
        <v>30</v>
      </c>
      <c r="D24" s="6" t="s">
        <v>30</v>
      </c>
    </row>
    <row r="25" customFormat="false" ht="15" hidden="false" customHeight="false" outlineLevel="0" collapsed="false">
      <c r="A25" s="0" t="s">
        <v>10</v>
      </c>
      <c r="B25" s="0" t="n">
        <f aca="false">ROUND(I4,1)</f>
        <v>-6.2</v>
      </c>
      <c r="C25" s="0" t="n">
        <v>-6.2</v>
      </c>
    </row>
    <row r="26" customFormat="false" ht="15" hidden="false" customHeight="false" outlineLevel="0" collapsed="false">
      <c r="A26" s="0" t="s">
        <v>17</v>
      </c>
      <c r="B26" s="0" t="n">
        <f aca="false">ROUND(I7,1)</f>
        <v>13.2</v>
      </c>
      <c r="C26" s="0" t="n">
        <v>13.2</v>
      </c>
    </row>
    <row r="27" customFormat="false" ht="15" hidden="false" customHeight="false" outlineLevel="0" collapsed="false">
      <c r="A27" s="0" t="s">
        <v>31</v>
      </c>
      <c r="B27" s="0" t="n">
        <f aca="false">ROUND(I7-I4,1)</f>
        <v>19.5</v>
      </c>
      <c r="C27" s="0" t="n">
        <v>19.5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0" t="s">
        <v>33</v>
      </c>
    </row>
    <row r="3" customFormat="false" ht="15" hidden="false" customHeight="false" outlineLevel="0" collapsed="false">
      <c r="A3" s="0" t="s">
        <v>34</v>
      </c>
    </row>
    <row r="4" customFormat="false" ht="15" hidden="false" customHeight="false" outlineLevel="0" collapsed="false">
      <c r="A4" s="0" t="s">
        <v>35</v>
      </c>
    </row>
    <row r="5" customFormat="false" ht="15" hidden="false" customHeight="false" outlineLevel="0" collapsed="false">
      <c r="A5" s="0" t="s">
        <v>36</v>
      </c>
    </row>
    <row r="6" customFormat="false" ht="15" hidden="false" customHeight="false" outlineLevel="0" collapsed="false">
      <c r="A6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2026-10-07T19:48:38Z</dcterms:created>
  <dc:creator>openpyxl</dc:creator>
  <dc:description/>
  <dc:language>en-US</dc:language>
  <cp:lastModifiedBy/>
  <dcterms:modified xsi:type="dcterms:W3CDTF">2026-10-07T19:48:38Z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