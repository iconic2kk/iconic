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ummary" sheetId="1" state="visible" r:id="rId3"/>
    <sheet name="Industries_2026" sheetId="2" state="visible" r:id="rId4"/>
    <sheet name="Draws_2026" sheetId="3" state="visible" r:id="rId5"/>
    <sheet name="Backtest_2020_2025" sheetId="4" state="visible" r:id="rId6"/>
    <sheet name="Model_v2_check" sheetId="5" state="visible" r:id="rId7"/>
    <sheet name="Medina_2025" sheetId="6" state="visible" r:id="rId8"/>
    <sheet name="Counts_2024_2025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<sst xmlns="http://schemas.openxmlformats.org/spreadsheetml/2006/main" count="571" uniqueCount="265">
  <si>
    <t xml:space="preserve">Breadth Fund 2026 round: golden summary</t>
  </si>
  <si>
    <t xml:space="preserve">Article 4 notices</t>
  </si>
  <si>
    <t xml:space="preserve">Wilson</t>
  </si>
  <si>
    <t xml:space="preserve">Transition reserve payout ($)</t>
  </si>
  <si>
    <t xml:space="preserve">Wilson County 2026 draw ($)</t>
  </si>
  <si>
    <t xml:space="preserve">Wilson change on 2025 (%)</t>
  </si>
  <si>
    <t xml:space="preserve">Qualifying industries, 2026 round</t>
  </si>
  <si>
    <t xml:space="preserve">Part per industry ($)</t>
  </si>
  <si>
    <t xml:space="preserve">Ledger lines rebuilt exactly (of 78)</t>
  </si>
  <si>
    <t xml:space="preserve">Finance model v2: notices / reserve</t>
  </si>
  <si>
    <t xml:space="preserve">Gillespie / 8240</t>
  </si>
  <si>
    <t xml:space="preserve">NAICS</t>
  </si>
  <si>
    <t xml:space="preserve">Industry</t>
  </si>
  <si>
    <t xml:space="preserve">Region establishments 2024</t>
  </si>
  <si>
    <t xml:space="preserve">Region establishments 2025</t>
  </si>
  <si>
    <t xml:space="preserve">Carried in 2024 and 2025 (qualifies for 2026 round)</t>
  </si>
  <si>
    <t xml:space="preserve">Part of the fund ($)</t>
  </si>
  <si>
    <t xml:space="preserve">3111</t>
  </si>
  <si>
    <t xml:space="preserve">NAICS 3111 Animal food manufacturing</t>
  </si>
  <si>
    <t xml:space="preserve">3112</t>
  </si>
  <si>
    <t xml:space="preserve">NAICS 3112 Grain and oilseed milling</t>
  </si>
  <si>
    <t xml:space="preserve">3113</t>
  </si>
  <si>
    <t xml:space="preserve">NAICS 3113 Sugar and confectionery product manufacturing</t>
  </si>
  <si>
    <t xml:space="preserve">3114</t>
  </si>
  <si>
    <t xml:space="preserve">NAICS 3114 Fruit and vegetable preserving and specialty food manufacturing</t>
  </si>
  <si>
    <t xml:space="preserve">3115</t>
  </si>
  <si>
    <t xml:space="preserve">NAICS 3115 Dairy product manufacturing</t>
  </si>
  <si>
    <t xml:space="preserve">3116</t>
  </si>
  <si>
    <t xml:space="preserve">NAICS 3116 Animal slaughtering and processing</t>
  </si>
  <si>
    <t xml:space="preserve">3117</t>
  </si>
  <si>
    <t xml:space="preserve">NAICS 3117 Seafood product preparation and packaging</t>
  </si>
  <si>
    <t xml:space="preserve">3118</t>
  </si>
  <si>
    <t xml:space="preserve">NAICS 3118 Bakeries and tortilla manufacturing</t>
  </si>
  <si>
    <t xml:space="preserve">3119</t>
  </si>
  <si>
    <t xml:space="preserve">NAICS 3119 Other food manufacturing</t>
  </si>
  <si>
    <t xml:space="preserve">3121</t>
  </si>
  <si>
    <t xml:space="preserve">NAICS 3121 Beverage manufacturing</t>
  </si>
  <si>
    <t xml:space="preserve">3122</t>
  </si>
  <si>
    <t xml:space="preserve">NAICS 3122 Tobacco manufacturing</t>
  </si>
  <si>
    <t xml:space="preserve">3132</t>
  </si>
  <si>
    <t xml:space="preserve">NAICS 3132 Fabric mills</t>
  </si>
  <si>
    <t xml:space="preserve">3133</t>
  </si>
  <si>
    <t xml:space="preserve">NAICS 3133 Textile and fabric finishing and fabric coating mills</t>
  </si>
  <si>
    <t xml:space="preserve">3141</t>
  </si>
  <si>
    <t xml:space="preserve">NAICS 3141 Textile furnishings mills</t>
  </si>
  <si>
    <t xml:space="preserve">3149</t>
  </si>
  <si>
    <t xml:space="preserve">NAICS 3149 Other textile product mills</t>
  </si>
  <si>
    <t xml:space="preserve">3152</t>
  </si>
  <si>
    <t xml:space="preserve">NAICS 3152 Cut and sew apparel manufacturing</t>
  </si>
  <si>
    <t xml:space="preserve">3159</t>
  </si>
  <si>
    <t xml:space="preserve">NAICS 3159 Apparel accessories and other apparel manufacturing</t>
  </si>
  <si>
    <t xml:space="preserve">3161</t>
  </si>
  <si>
    <t xml:space="preserve">NAICS 3161 Leather and hide tanning and finishing</t>
  </si>
  <si>
    <t xml:space="preserve">3162</t>
  </si>
  <si>
    <t xml:space="preserve">NAICS 3162 Footwear manufacturing</t>
  </si>
  <si>
    <t xml:space="preserve">3169</t>
  </si>
  <si>
    <t xml:space="preserve">NAICS 3169 Other leather and allied product manufacturing</t>
  </si>
  <si>
    <t xml:space="preserve">3211</t>
  </si>
  <si>
    <t xml:space="preserve">NAICS 3211 Sawmills and wood preservation</t>
  </si>
  <si>
    <t xml:space="preserve">3212</t>
  </si>
  <si>
    <t xml:space="preserve">NAICS 3212 Veneer, plywood, and engineered wood product manufacturing</t>
  </si>
  <si>
    <t xml:space="preserve">3219</t>
  </si>
  <si>
    <t xml:space="preserve">NAICS 3219 Other wood product manufacturing</t>
  </si>
  <si>
    <t xml:space="preserve">3221</t>
  </si>
  <si>
    <t xml:space="preserve">NAICS 3221 Pulp, paper, and paperboard mills</t>
  </si>
  <si>
    <t xml:space="preserve">3222</t>
  </si>
  <si>
    <t xml:space="preserve">NAICS 3222 Converted paper product manufacturing</t>
  </si>
  <si>
    <t xml:space="preserve">3231</t>
  </si>
  <si>
    <t xml:space="preserve">NAICS 3231 Printing and related support activities</t>
  </si>
  <si>
    <t xml:space="preserve">3241</t>
  </si>
  <si>
    <t xml:space="preserve">NAICS 3241 Petroleum and coal products manufacturing</t>
  </si>
  <si>
    <t xml:space="preserve">3251</t>
  </si>
  <si>
    <t xml:space="preserve">NAICS 3251 Basic chemical manufacturing</t>
  </si>
  <si>
    <t xml:space="preserve">3252</t>
  </si>
  <si>
    <t xml:space="preserve">NAICS 3252 Resin, synthetic rubber, and artificial and synthetic fibers and filaments manufacturing</t>
  </si>
  <si>
    <t xml:space="preserve">3253</t>
  </si>
  <si>
    <t xml:space="preserve">NAICS 3253 Pesticide, fertilizer, and other agricultural chemical manufacturing</t>
  </si>
  <si>
    <t xml:space="preserve">3254</t>
  </si>
  <si>
    <t xml:space="preserve">NAICS 3254 Pharmaceutical and medicine manufacturing</t>
  </si>
  <si>
    <t xml:space="preserve">3255</t>
  </si>
  <si>
    <t xml:space="preserve">NAICS 3255 Paint, coating, and adhesive manufacturing</t>
  </si>
  <si>
    <t xml:space="preserve">3256</t>
  </si>
  <si>
    <t xml:space="preserve">NAICS 3256 Soap, cleaning compound, and toilet preparation manufacturing</t>
  </si>
  <si>
    <t xml:space="preserve">3259</t>
  </si>
  <si>
    <t xml:space="preserve">NAICS 3259 Other chemical product and preparation manufacturing</t>
  </si>
  <si>
    <t xml:space="preserve">3261</t>
  </si>
  <si>
    <t xml:space="preserve">NAICS 3261 Plastics product manufacturing</t>
  </si>
  <si>
    <t xml:space="preserve">3262</t>
  </si>
  <si>
    <t xml:space="preserve">NAICS 3262 Rubber product manufacturing</t>
  </si>
  <si>
    <t xml:space="preserve">3271</t>
  </si>
  <si>
    <t xml:space="preserve">NAICS 3271 Clay product and refractory manufacturing</t>
  </si>
  <si>
    <t xml:space="preserve">3272</t>
  </si>
  <si>
    <t xml:space="preserve">NAICS 3272 Glass and glass product manufacturing</t>
  </si>
  <si>
    <t xml:space="preserve">3273</t>
  </si>
  <si>
    <t xml:space="preserve">NAICS 3273 Cement and concrete product manufacturing</t>
  </si>
  <si>
    <t xml:space="preserve">3274</t>
  </si>
  <si>
    <t xml:space="preserve">NAICS 3274 Lime and gypsum product manufacturing</t>
  </si>
  <si>
    <t xml:space="preserve">3279</t>
  </si>
  <si>
    <t xml:space="preserve">NAICS 3279 Other nonmetallic mineral product manufacturing</t>
  </si>
  <si>
    <t xml:space="preserve">3311</t>
  </si>
  <si>
    <t xml:space="preserve">NAICS 3311 Iron and steel mills and ferroalloy manufacturing</t>
  </si>
  <si>
    <t xml:space="preserve">3312</t>
  </si>
  <si>
    <t xml:space="preserve">NAICS 3312 Steel product manufacturing from purchased steel</t>
  </si>
  <si>
    <t xml:space="preserve">3313</t>
  </si>
  <si>
    <t xml:space="preserve">NAICS 3313 Alumina and aluminum production and processing</t>
  </si>
  <si>
    <t xml:space="preserve">3314</t>
  </si>
  <si>
    <t xml:space="preserve">NAICS 3314 Nonferrous metal (except aluminum) production and processing</t>
  </si>
  <si>
    <t xml:space="preserve">3315</t>
  </si>
  <si>
    <t xml:space="preserve">NAICS 3315 Foundries</t>
  </si>
  <si>
    <t xml:space="preserve">3321</t>
  </si>
  <si>
    <t xml:space="preserve">NAICS 3321 Forging and stamping</t>
  </si>
  <si>
    <t xml:space="preserve">3322</t>
  </si>
  <si>
    <t xml:space="preserve">NAICS 3322 Cutlery and handtool manufacturing</t>
  </si>
  <si>
    <t xml:space="preserve">3323</t>
  </si>
  <si>
    <t xml:space="preserve">NAICS 3323 Architectural and structural metals manufacturing</t>
  </si>
  <si>
    <t xml:space="preserve">3324</t>
  </si>
  <si>
    <t xml:space="preserve">NAICS 3324 Boiler, tank, and shipping container manufacturing</t>
  </si>
  <si>
    <t xml:space="preserve">3325</t>
  </si>
  <si>
    <t xml:space="preserve">NAICS 3325 Hardware manufacturing</t>
  </si>
  <si>
    <t xml:space="preserve">3326</t>
  </si>
  <si>
    <t xml:space="preserve">NAICS 3326 Spring and wire product manufacturing</t>
  </si>
  <si>
    <t xml:space="preserve">3327</t>
  </si>
  <si>
    <t xml:space="preserve">NAICS 3327 Machine shops; turned product; and screw, nut, and bolt manufacturing</t>
  </si>
  <si>
    <t xml:space="preserve">3328</t>
  </si>
  <si>
    <t xml:space="preserve">NAICS 3328 Coating, engraving, heat treating, and allied activities</t>
  </si>
  <si>
    <t xml:space="preserve">3329</t>
  </si>
  <si>
    <t xml:space="preserve">NAICS 3329 Other fabricated metal product manufacturing</t>
  </si>
  <si>
    <t xml:space="preserve">3331</t>
  </si>
  <si>
    <t xml:space="preserve">NAICS 3331 Agriculture, construction, and mining machinery manufacturing</t>
  </si>
  <si>
    <t xml:space="preserve">3332</t>
  </si>
  <si>
    <t xml:space="preserve">NAICS 3332 Industrial machinery manufacturing</t>
  </si>
  <si>
    <t xml:space="preserve">3333</t>
  </si>
  <si>
    <t xml:space="preserve">NAICS 3333 Commercial and service industry machinery manufacturing</t>
  </si>
  <si>
    <t xml:space="preserve">3334</t>
  </si>
  <si>
    <t xml:space="preserve">NAICS 3334 Ventilation, heating, air-conditioning, and commercial refrigeration equipment manufacturing</t>
  </si>
  <si>
    <t xml:space="preserve">3335</t>
  </si>
  <si>
    <t xml:space="preserve">NAICS 3335 Metalworking machinery manufacturing</t>
  </si>
  <si>
    <t xml:space="preserve">3336</t>
  </si>
  <si>
    <t xml:space="preserve">NAICS 3336 Engine, turbine, and power transmission equipment manufacturing</t>
  </si>
  <si>
    <t xml:space="preserve">3339</t>
  </si>
  <si>
    <t xml:space="preserve">NAICS 3339 Other general purpose machinery manufacturing</t>
  </si>
  <si>
    <t xml:space="preserve">3341</t>
  </si>
  <si>
    <t xml:space="preserve">NAICS 3341 Computer and peripheral equipment manufacturing</t>
  </si>
  <si>
    <t xml:space="preserve">3342</t>
  </si>
  <si>
    <t xml:space="preserve">NAICS 3342 Communications equipment manufacturing</t>
  </si>
  <si>
    <t xml:space="preserve">3343</t>
  </si>
  <si>
    <t xml:space="preserve">NAICS 3343 Audio and video equipment manufacturing</t>
  </si>
  <si>
    <t xml:space="preserve">3344</t>
  </si>
  <si>
    <t xml:space="preserve">NAICS 3344 Semiconductor and other electronic component manufacturing</t>
  </si>
  <si>
    <t xml:space="preserve">3345</t>
  </si>
  <si>
    <t xml:space="preserve">NAICS 3345 Navigational, measuring, electromedical, and control instruments manufacturing</t>
  </si>
  <si>
    <t xml:space="preserve">3346</t>
  </si>
  <si>
    <t xml:space="preserve">NAICS 3346 Manufacturing and reproducing magnetic and optical media</t>
  </si>
  <si>
    <t xml:space="preserve">3351</t>
  </si>
  <si>
    <t xml:space="preserve">NAICS 3351 Electric lighting equipment manufacturing</t>
  </si>
  <si>
    <t xml:space="preserve">3352</t>
  </si>
  <si>
    <t xml:space="preserve">NAICS 3352 Household appliance manufacturing</t>
  </si>
  <si>
    <t xml:space="preserve">3353</t>
  </si>
  <si>
    <t xml:space="preserve">NAICS 3353 Electrical equipment manufacturing</t>
  </si>
  <si>
    <t xml:space="preserve">3359</t>
  </si>
  <si>
    <t xml:space="preserve">NAICS 3359 Other electrical equipment and component manufacturing</t>
  </si>
  <si>
    <t xml:space="preserve">3361</t>
  </si>
  <si>
    <t xml:space="preserve">NAICS 3361 Motor vehicle manufacturing</t>
  </si>
  <si>
    <t xml:space="preserve">3362</t>
  </si>
  <si>
    <t xml:space="preserve">NAICS 3362 Motor vehicle body and trailer manufacturing</t>
  </si>
  <si>
    <t xml:space="preserve">3363</t>
  </si>
  <si>
    <t xml:space="preserve">NAICS 3363 Motor vehicle parts manufacturing</t>
  </si>
  <si>
    <t xml:space="preserve">3364</t>
  </si>
  <si>
    <t xml:space="preserve">NAICS 3364 Aerospace product and parts manufacturing</t>
  </si>
  <si>
    <t xml:space="preserve">3365</t>
  </si>
  <si>
    <t xml:space="preserve">NAICS 3365 Railroad rolling stock manufacturing</t>
  </si>
  <si>
    <t xml:space="preserve">3366</t>
  </si>
  <si>
    <t xml:space="preserve">NAICS 3366 Ship and boat building</t>
  </si>
  <si>
    <t xml:space="preserve">3369</t>
  </si>
  <si>
    <t xml:space="preserve">NAICS 3369 Other transportation equipment manufacturing</t>
  </si>
  <si>
    <t xml:space="preserve">3371</t>
  </si>
  <si>
    <t xml:space="preserve">NAICS 3371 Household and institutional furniture and kitchen cabinet manufacturing</t>
  </si>
  <si>
    <t xml:space="preserve">3372</t>
  </si>
  <si>
    <t xml:space="preserve">NAICS 3372 Office furniture (including fixtures) manufacturing</t>
  </si>
  <si>
    <t xml:space="preserve">3379</t>
  </si>
  <si>
    <t xml:space="preserve">NAICS 3379 Other furniture related product manufacturing</t>
  </si>
  <si>
    <t xml:space="preserve">3391</t>
  </si>
  <si>
    <t xml:space="preserve">NAICS 3391 Medical equipment and supplies manufacturing</t>
  </si>
  <si>
    <t xml:space="preserve">3399</t>
  </si>
  <si>
    <t xml:space="preserve">NAICS 3399 Other miscellaneous manufacturing</t>
  </si>
  <si>
    <t xml:space="preserve">Qualifying industries</t>
  </si>
  <si>
    <t xml:space="preserve">County</t>
  </si>
  <si>
    <t xml:space="preserve">Draw 2026 ($)</t>
  </si>
  <si>
    <t xml:space="preserve">2025 draw, ledger ($)</t>
  </si>
  <si>
    <t xml:space="preserve">Change (%)</t>
  </si>
  <si>
    <t xml:space="preserve">Article 4 notice</t>
  </si>
  <si>
    <t xml:space="preserve">Transition payment ($)</t>
  </si>
  <si>
    <t xml:space="preserve">Atascosa</t>
  </si>
  <si>
    <t xml:space="preserve">Bandera</t>
  </si>
  <si>
    <t xml:space="preserve">Bexar</t>
  </si>
  <si>
    <t xml:space="preserve">Comal</t>
  </si>
  <si>
    <t xml:space="preserve">Frio</t>
  </si>
  <si>
    <t xml:space="preserve">Gillespie</t>
  </si>
  <si>
    <t xml:space="preserve">Guadalupe</t>
  </si>
  <si>
    <t xml:space="preserve">Karnes</t>
  </si>
  <si>
    <t xml:space="preserve">Kendall</t>
  </si>
  <si>
    <t xml:space="preserve">Kerr</t>
  </si>
  <si>
    <t xml:space="preserve">McMullen</t>
  </si>
  <si>
    <t xml:space="preserve">Medina</t>
  </si>
  <si>
    <t xml:space="preserve">Total</t>
  </si>
  <si>
    <t xml:space="preserve">Round</t>
  </si>
  <si>
    <t xml:space="preserve">Ledger draw ($)</t>
  </si>
  <si>
    <t xml:space="preserve">Rebuilt draw ($)</t>
  </si>
  <si>
    <t xml:space="preserve">Difference</t>
  </si>
  <si>
    <t xml:space="preserve">Lines that differ</t>
  </si>
  <si>
    <t xml:space="preserve">Model v2 projection ($)</t>
  </si>
  <si>
    <t xml:space="preserve">Draw 2026, fund method ($)</t>
  </si>
  <si>
    <t xml:space="preserve">Overstatement ($)</t>
  </si>
  <si>
    <t xml:space="preserve">Model v2 change (%)</t>
  </si>
  <si>
    <t xml:space="preserve">Fund method change (%)</t>
  </si>
  <si>
    <t xml:space="preserve">Industries model v2 counts that the region carried in 2025 but not in 2024 (first year, no part of the 2026 round):</t>
  </si>
  <si>
    <t xml:space="preserve">Bexar: 1 establishment(s)</t>
  </si>
  <si>
    <t xml:space="preserve">Wilson: 2 establishment(s)</t>
  </si>
  <si>
    <t xml:space="preserve">Model v2 backtest, counties that differ from the ledger by round:</t>
  </si>
  <si>
    <t xml:space="preserve">2020: 13</t>
  </si>
  <si>
    <t xml:space="preserve">2021: 13</t>
  </si>
  <si>
    <t xml:space="preserve">2022: 13</t>
  </si>
  <si>
    <t xml:space="preserve">2023: 0</t>
  </si>
  <si>
    <t xml:space="preserve">2024: 0</t>
  </si>
  <si>
    <t xml:space="preserve">2025: 0</t>
  </si>
  <si>
    <t xml:space="preserve">Title</t>
  </si>
  <si>
    <t xml:space="preserve">Medina establishments (2023 counts)</t>
  </si>
  <si>
    <t xml:space="preserve">Region (2023)</t>
  </si>
  <si>
    <t xml:space="preserve">Medina part, 2024 round ($)</t>
  </si>
  <si>
    <t xml:space="preserve">Medina establishments (2024 counts)</t>
  </si>
  <si>
    <t xml:space="preserve">Region (2024)</t>
  </si>
  <si>
    <t xml:space="preserve">Medina part, 2025 round ($)</t>
  </si>
  <si>
    <t xml:space="preserve">3131</t>
  </si>
  <si>
    <t xml:space="preserve">NAICS 3131 Fiber, yarn, and thread mills</t>
  </si>
  <si>
    <t xml:space="preserve">June 2025 projection for Medina ($)</t>
  </si>
  <si>
    <t xml:space="preserve">Confirmed 2025 draw ($)</t>
  </si>
  <si>
    <t xml:space="preserve">Gap ($)</t>
  </si>
  <si>
    <t xml:space="preserve">Atascosa 2024</t>
  </si>
  <si>
    <t xml:space="preserve">Bandera 2024</t>
  </si>
  <si>
    <t xml:space="preserve">Bexar 2024</t>
  </si>
  <si>
    <t xml:space="preserve">Comal 2024</t>
  </si>
  <si>
    <t xml:space="preserve">Frio 2024</t>
  </si>
  <si>
    <t xml:space="preserve">Gillespie 2024</t>
  </si>
  <si>
    <t xml:space="preserve">Guadalupe 2024</t>
  </si>
  <si>
    <t xml:space="preserve">Karnes 2024</t>
  </si>
  <si>
    <t xml:space="preserve">Kendall 2024</t>
  </si>
  <si>
    <t xml:space="preserve">Kerr 2024</t>
  </si>
  <si>
    <t xml:space="preserve">McMullen 2024</t>
  </si>
  <si>
    <t xml:space="preserve">Medina 2024</t>
  </si>
  <si>
    <t xml:space="preserve">Wilson 2024</t>
  </si>
  <si>
    <t xml:space="preserve">Region 2024</t>
  </si>
  <si>
    <t xml:space="preserve">Atascosa 2025</t>
  </si>
  <si>
    <t xml:space="preserve">Bandera 2025</t>
  </si>
  <si>
    <t xml:space="preserve">Bexar 2025</t>
  </si>
  <si>
    <t xml:space="preserve">Comal 2025</t>
  </si>
  <si>
    <t xml:space="preserve">Frio 2025</t>
  </si>
  <si>
    <t xml:space="preserve">Gillespie 2025</t>
  </si>
  <si>
    <t xml:space="preserve">Guadalupe 2025</t>
  </si>
  <si>
    <t xml:space="preserve">Karnes 2025</t>
  </si>
  <si>
    <t xml:space="preserve">Kendall 2025</t>
  </si>
  <si>
    <t xml:space="preserve">Kerr 2025</t>
  </si>
  <si>
    <t xml:space="preserve">McMullen 2025</t>
  </si>
  <si>
    <t xml:space="preserve">Medina 2025</t>
  </si>
  <si>
    <t xml:space="preserve">Wilson 2025</t>
  </si>
  <si>
    <t xml:space="preserve">Region 2025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</si>
</sst>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Cambria"/>
      <family val="0"/>
      <charset val="1"/>
    </font>
    <font>
      <b val="true"/>
      <sz val="11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DE4EE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E4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2"/>
  </cols>
  <sheetData>
    <row r="1" customFormat="false" ht="15" hidden="false" customHeight="false" outlineLevel="0" collapsed="false">
      <c r="A1" s="1" t="s">
        <v>0</v>
      </c>
    </row>
    <row r="3" customFormat="false" ht="15" hidden="false" customHeight="false" outlineLevel="0" collapsed="false">
      <c r="A3" s="0" t="s">
        <v>1</v>
      </c>
      <c r="B3" s="0" t="s">
        <v>2</v>
      </c>
    </row>
    <row r="4" customFormat="false" ht="15" hidden="false" customHeight="false" outlineLevel="0" collapsed="false">
      <c r="A4" s="0" t="s">
        <v>3</v>
      </c>
      <c r="B4" s="0" t="n">
        <v>6869</v>
      </c>
    </row>
    <row r="5" customFormat="false" ht="15" hidden="false" customHeight="false" outlineLevel="0" collapsed="false">
      <c r="A5" s="0" t="s">
        <v>4</v>
      </c>
      <c r="B5" s="0" t="n">
        <v>103409</v>
      </c>
    </row>
    <row r="6" customFormat="false" ht="15" hidden="false" customHeight="false" outlineLevel="0" collapsed="false">
      <c r="A6" s="0" t="s">
        <v>5</v>
      </c>
      <c r="B6" s="0" t="n">
        <v>-11.73</v>
      </c>
    </row>
    <row r="7" customFormat="false" ht="15" hidden="false" customHeight="false" outlineLevel="0" collapsed="false">
      <c r="A7" s="0" t="s">
        <v>6</v>
      </c>
      <c r="B7" s="0" t="n">
        <v>82</v>
      </c>
    </row>
    <row r="8" customFormat="false" ht="15" hidden="false" customHeight="false" outlineLevel="0" collapsed="false">
      <c r="A8" s="0" t="s">
        <v>7</v>
      </c>
      <c r="B8" s="0" t="n">
        <v>60975.61</v>
      </c>
    </row>
    <row r="9" customFormat="false" ht="15" hidden="false" customHeight="false" outlineLevel="0" collapsed="false">
      <c r="A9" s="0" t="s">
        <v>8</v>
      </c>
      <c r="B9" s="0" t="n">
        <v>78</v>
      </c>
    </row>
    <row r="10" customFormat="false" ht="15" hidden="false" customHeight="false" outlineLevel="0" collapsed="false">
      <c r="A10" s="0" t="s">
        <v>9</v>
      </c>
      <c r="B10" s="0" t="s"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6" min="1" style="0" width="22"/>
  </cols>
  <sheetData>
    <row r="1" customFormat="false" ht="15" hidden="false" customHeight="false" outlineLevel="0" collapsed="false">
      <c r="A1" s="2" t="s">
        <v>11</v>
      </c>
      <c r="B1" s="2" t="s">
        <v>12</v>
      </c>
      <c r="C1" s="2" t="s">
        <v>13</v>
      </c>
      <c r="D1" s="2" t="s">
        <v>14</v>
      </c>
      <c r="E1" s="2" t="s">
        <v>15</v>
      </c>
      <c r="F1" s="2" t="s">
        <v>16</v>
      </c>
    </row>
    <row r="2" customFormat="false" ht="15" hidden="false" customHeight="false" outlineLevel="0" collapsed="false">
      <c r="A2" s="0" t="s">
        <v>17</v>
      </c>
      <c r="B2" s="0" t="s">
        <v>18</v>
      </c>
      <c r="C2" s="0" t="n">
        <f aca="false">Counts_2024_2025!P2</f>
        <v>12</v>
      </c>
      <c r="D2" s="0" t="n">
        <f aca="false">Counts_2024_2025!AD2</f>
        <v>12</v>
      </c>
      <c r="E2" s="0" t="n">
        <f aca="false">IF(AND(C2&gt;0,D2&gt;0),1,0)</f>
        <v>1</v>
      </c>
      <c r="F2" s="0" t="n">
        <f aca="false">IF(E2=1,5000000/SUM($E$2:$E$85),0)</f>
        <v>60975.6097560976</v>
      </c>
    </row>
    <row r="3" customFormat="false" ht="15" hidden="false" customHeight="false" outlineLevel="0" collapsed="false">
      <c r="A3" s="0" t="s">
        <v>19</v>
      </c>
      <c r="B3" s="0" t="s">
        <v>20</v>
      </c>
      <c r="C3" s="0" t="n">
        <f aca="false">Counts_2024_2025!P3</f>
        <v>6</v>
      </c>
      <c r="D3" s="0" t="n">
        <f aca="false">Counts_2024_2025!AD3</f>
        <v>7</v>
      </c>
      <c r="E3" s="0" t="n">
        <f aca="false">IF(AND(C3&gt;0,D3&gt;0),1,0)</f>
        <v>1</v>
      </c>
      <c r="F3" s="0" t="n">
        <f aca="false">IF(E3=1,5000000/SUM($E$2:$E$85),0)</f>
        <v>60975.6097560976</v>
      </c>
    </row>
    <row r="4" customFormat="false" ht="15" hidden="false" customHeight="false" outlineLevel="0" collapsed="false">
      <c r="A4" s="0" t="s">
        <v>21</v>
      </c>
      <c r="B4" s="0" t="s">
        <v>22</v>
      </c>
      <c r="C4" s="0" t="n">
        <f aca="false">Counts_2024_2025!P4</f>
        <v>7</v>
      </c>
      <c r="D4" s="0" t="n">
        <f aca="false">Counts_2024_2025!AD4</f>
        <v>7</v>
      </c>
      <c r="E4" s="0" t="n">
        <f aca="false">IF(AND(C4&gt;0,D4&gt;0),1,0)</f>
        <v>1</v>
      </c>
      <c r="F4" s="0" t="n">
        <f aca="false">IF(E4=1,5000000/SUM($E$2:$E$85),0)</f>
        <v>60975.6097560976</v>
      </c>
    </row>
    <row r="5" customFormat="false" ht="15" hidden="false" customHeight="false" outlineLevel="0" collapsed="false">
      <c r="A5" s="0" t="s">
        <v>23</v>
      </c>
      <c r="B5" s="0" t="s">
        <v>24</v>
      </c>
      <c r="C5" s="0" t="n">
        <f aca="false">Counts_2024_2025!P5</f>
        <v>24</v>
      </c>
      <c r="D5" s="0" t="n">
        <f aca="false">Counts_2024_2025!AD5</f>
        <v>24</v>
      </c>
      <c r="E5" s="0" t="n">
        <f aca="false">IF(AND(C5&gt;0,D5&gt;0),1,0)</f>
        <v>1</v>
      </c>
      <c r="F5" s="0" t="n">
        <f aca="false">IF(E5=1,5000000/SUM($E$2:$E$85),0)</f>
        <v>60975.6097560976</v>
      </c>
    </row>
    <row r="6" customFormat="false" ht="15" hidden="false" customHeight="false" outlineLevel="0" collapsed="false">
      <c r="A6" s="0" t="s">
        <v>25</v>
      </c>
      <c r="B6" s="0" t="s">
        <v>26</v>
      </c>
      <c r="C6" s="0" t="n">
        <f aca="false">Counts_2024_2025!P6</f>
        <v>10</v>
      </c>
      <c r="D6" s="0" t="n">
        <f aca="false">Counts_2024_2025!AD6</f>
        <v>10</v>
      </c>
      <c r="E6" s="0" t="n">
        <f aca="false">IF(AND(C6&gt;0,D6&gt;0),1,0)</f>
        <v>1</v>
      </c>
      <c r="F6" s="0" t="n">
        <f aca="false">IF(E6=1,5000000/SUM($E$2:$E$85),0)</f>
        <v>60975.6097560976</v>
      </c>
    </row>
    <row r="7" customFormat="false" ht="15" hidden="false" customHeight="false" outlineLevel="0" collapsed="false">
      <c r="A7" s="0" t="s">
        <v>27</v>
      </c>
      <c r="B7" s="0" t="s">
        <v>28</v>
      </c>
      <c r="C7" s="0" t="n">
        <f aca="false">Counts_2024_2025!P7</f>
        <v>34</v>
      </c>
      <c r="D7" s="0" t="n">
        <f aca="false">Counts_2024_2025!AD7</f>
        <v>38</v>
      </c>
      <c r="E7" s="0" t="n">
        <f aca="false">IF(AND(C7&gt;0,D7&gt;0),1,0)</f>
        <v>1</v>
      </c>
      <c r="F7" s="0" t="n">
        <f aca="false">IF(E7=1,5000000/SUM($E$2:$E$85),0)</f>
        <v>60975.6097560976</v>
      </c>
    </row>
    <row r="8" customFormat="false" ht="15" hidden="false" customHeight="false" outlineLevel="0" collapsed="false">
      <c r="A8" s="0" t="s">
        <v>29</v>
      </c>
      <c r="B8" s="0" t="s">
        <v>30</v>
      </c>
      <c r="C8" s="0" t="n">
        <f aca="false">Counts_2024_2025!P8</f>
        <v>5</v>
      </c>
      <c r="D8" s="0" t="n">
        <f aca="false">Counts_2024_2025!AD8</f>
        <v>4</v>
      </c>
      <c r="E8" s="0" t="n">
        <f aca="false">IF(AND(C8&gt;0,D8&gt;0),1,0)</f>
        <v>1</v>
      </c>
      <c r="F8" s="0" t="n">
        <f aca="false">IF(E8=1,5000000/SUM($E$2:$E$85),0)</f>
        <v>60975.6097560976</v>
      </c>
    </row>
    <row r="9" customFormat="false" ht="15" hidden="false" customHeight="false" outlineLevel="0" collapsed="false">
      <c r="A9" s="0" t="s">
        <v>31</v>
      </c>
      <c r="B9" s="0" t="s">
        <v>32</v>
      </c>
      <c r="C9" s="0" t="n">
        <f aca="false">Counts_2024_2025!P9</f>
        <v>88</v>
      </c>
      <c r="D9" s="0" t="n">
        <f aca="false">Counts_2024_2025!AD9</f>
        <v>89</v>
      </c>
      <c r="E9" s="0" t="n">
        <f aca="false">IF(AND(C9&gt;0,D9&gt;0),1,0)</f>
        <v>1</v>
      </c>
      <c r="F9" s="0" t="n">
        <f aca="false">IF(E9=1,5000000/SUM($E$2:$E$85),0)</f>
        <v>60975.6097560976</v>
      </c>
    </row>
    <row r="10" customFormat="false" ht="15" hidden="false" customHeight="false" outlineLevel="0" collapsed="false">
      <c r="A10" s="0" t="s">
        <v>33</v>
      </c>
      <c r="B10" s="0" t="s">
        <v>34</v>
      </c>
      <c r="C10" s="0" t="n">
        <f aca="false">Counts_2024_2025!P10</f>
        <v>57</v>
      </c>
      <c r="D10" s="0" t="n">
        <f aca="false">Counts_2024_2025!AD10</f>
        <v>61</v>
      </c>
      <c r="E10" s="0" t="n">
        <f aca="false">IF(AND(C10&gt;0,D10&gt;0),1,0)</f>
        <v>1</v>
      </c>
      <c r="F10" s="0" t="n">
        <f aca="false">IF(E10=1,5000000/SUM($E$2:$E$85),0)</f>
        <v>60975.6097560976</v>
      </c>
    </row>
    <row r="11" customFormat="false" ht="15" hidden="false" customHeight="false" outlineLevel="0" collapsed="false">
      <c r="A11" s="0" t="s">
        <v>35</v>
      </c>
      <c r="B11" s="0" t="s">
        <v>36</v>
      </c>
      <c r="C11" s="0" t="n">
        <f aca="false">Counts_2024_2025!P11</f>
        <v>112</v>
      </c>
      <c r="D11" s="0" t="n">
        <f aca="false">Counts_2024_2025!AD11</f>
        <v>106</v>
      </c>
      <c r="E11" s="0" t="n">
        <f aca="false">IF(AND(C11&gt;0,D11&gt;0),1,0)</f>
        <v>1</v>
      </c>
      <c r="F11" s="0" t="n">
        <f aca="false">IF(E11=1,5000000/SUM($E$2:$E$85),0)</f>
        <v>60975.6097560976</v>
      </c>
    </row>
    <row r="12" customFormat="false" ht="15" hidden="false" customHeight="false" outlineLevel="0" collapsed="false">
      <c r="A12" s="0" t="s">
        <v>37</v>
      </c>
      <c r="B12" s="0" t="s">
        <v>38</v>
      </c>
      <c r="C12" s="0" t="n">
        <f aca="false">Counts_2024_2025!P12</f>
        <v>1</v>
      </c>
      <c r="D12" s="0" t="n">
        <f aca="false">Counts_2024_2025!AD12</f>
        <v>1</v>
      </c>
      <c r="E12" s="0" t="n">
        <f aca="false">IF(AND(C12&gt;0,D12&gt;0),1,0)</f>
        <v>1</v>
      </c>
      <c r="F12" s="0" t="n">
        <f aca="false">IF(E12=1,5000000/SUM($E$2:$E$85),0)</f>
        <v>60975.6097560976</v>
      </c>
    </row>
    <row r="13" customFormat="false" ht="15" hidden="false" customHeight="false" outlineLevel="0" collapsed="false">
      <c r="A13" s="0" t="s">
        <v>39</v>
      </c>
      <c r="B13" s="0" t="s">
        <v>40</v>
      </c>
      <c r="C13" s="0" t="n">
        <f aca="false">Counts_2024_2025!P13</f>
        <v>6</v>
      </c>
      <c r="D13" s="0" t="n">
        <f aca="false">Counts_2024_2025!AD13</f>
        <v>7</v>
      </c>
      <c r="E13" s="0" t="n">
        <f aca="false">IF(AND(C13&gt;0,D13&gt;0),1,0)</f>
        <v>1</v>
      </c>
      <c r="F13" s="0" t="n">
        <f aca="false">IF(E13=1,5000000/SUM($E$2:$E$85),0)</f>
        <v>60975.6097560976</v>
      </c>
    </row>
    <row r="14" customFormat="false" ht="15" hidden="false" customHeight="false" outlineLevel="0" collapsed="false">
      <c r="A14" s="0" t="s">
        <v>41</v>
      </c>
      <c r="B14" s="0" t="s">
        <v>42</v>
      </c>
      <c r="C14" s="0" t="n">
        <f aca="false">Counts_2024_2025!P14</f>
        <v>7</v>
      </c>
      <c r="D14" s="0" t="n">
        <f aca="false">Counts_2024_2025!AD14</f>
        <v>7</v>
      </c>
      <c r="E14" s="0" t="n">
        <f aca="false">IF(AND(C14&gt;0,D14&gt;0),1,0)</f>
        <v>1</v>
      </c>
      <c r="F14" s="0" t="n">
        <f aca="false">IF(E14=1,5000000/SUM($E$2:$E$85),0)</f>
        <v>60975.6097560976</v>
      </c>
    </row>
    <row r="15" customFormat="false" ht="15" hidden="false" customHeight="false" outlineLevel="0" collapsed="false">
      <c r="A15" s="0" t="s">
        <v>43</v>
      </c>
      <c r="B15" s="0" t="s">
        <v>44</v>
      </c>
      <c r="C15" s="0" t="n">
        <f aca="false">Counts_2024_2025!P15</f>
        <v>2</v>
      </c>
      <c r="D15" s="0" t="n">
        <f aca="false">Counts_2024_2025!AD15</f>
        <v>3</v>
      </c>
      <c r="E15" s="0" t="n">
        <f aca="false">IF(AND(C15&gt;0,D15&gt;0),1,0)</f>
        <v>1</v>
      </c>
      <c r="F15" s="0" t="n">
        <f aca="false">IF(E15=1,5000000/SUM($E$2:$E$85),0)</f>
        <v>60975.6097560976</v>
      </c>
    </row>
    <row r="16" customFormat="false" ht="15" hidden="false" customHeight="false" outlineLevel="0" collapsed="false">
      <c r="A16" s="0" t="s">
        <v>45</v>
      </c>
      <c r="B16" s="0" t="s">
        <v>46</v>
      </c>
      <c r="C16" s="0" t="n">
        <f aca="false">Counts_2024_2025!P16</f>
        <v>30</v>
      </c>
      <c r="D16" s="0" t="n">
        <f aca="false">Counts_2024_2025!AD16</f>
        <v>31</v>
      </c>
      <c r="E16" s="0" t="n">
        <f aca="false">IF(AND(C16&gt;0,D16&gt;0),1,0)</f>
        <v>1</v>
      </c>
      <c r="F16" s="0" t="n">
        <f aca="false">IF(E16=1,5000000/SUM($E$2:$E$85),0)</f>
        <v>60975.6097560976</v>
      </c>
    </row>
    <row r="17" customFormat="false" ht="15" hidden="false" customHeight="false" outlineLevel="0" collapsed="false">
      <c r="A17" s="0" t="s">
        <v>47</v>
      </c>
      <c r="B17" s="0" t="s">
        <v>48</v>
      </c>
      <c r="C17" s="0" t="n">
        <f aca="false">Counts_2024_2025!P17</f>
        <v>19</v>
      </c>
      <c r="D17" s="0" t="n">
        <f aca="false">Counts_2024_2025!AD17</f>
        <v>18</v>
      </c>
      <c r="E17" s="0" t="n">
        <f aca="false">IF(AND(C17&gt;0,D17&gt;0),1,0)</f>
        <v>1</v>
      </c>
      <c r="F17" s="0" t="n">
        <f aca="false">IF(E17=1,5000000/SUM($E$2:$E$85),0)</f>
        <v>60975.6097560976</v>
      </c>
    </row>
    <row r="18" customFormat="false" ht="15" hidden="false" customHeight="false" outlineLevel="0" collapsed="false">
      <c r="A18" s="0" t="s">
        <v>49</v>
      </c>
      <c r="B18" s="0" t="s">
        <v>50</v>
      </c>
      <c r="C18" s="0" t="n">
        <f aca="false">Counts_2024_2025!P18</f>
        <v>1</v>
      </c>
      <c r="D18" s="0" t="n">
        <f aca="false">Counts_2024_2025!AD18</f>
        <v>1</v>
      </c>
      <c r="E18" s="0" t="n">
        <f aca="false">IF(AND(C18&gt;0,D18&gt;0),1,0)</f>
        <v>1</v>
      </c>
      <c r="F18" s="0" t="n">
        <f aca="false">IF(E18=1,5000000/SUM($E$2:$E$85),0)</f>
        <v>60975.6097560976</v>
      </c>
    </row>
    <row r="19" customFormat="false" ht="15" hidden="false" customHeight="false" outlineLevel="0" collapsed="false">
      <c r="A19" s="0" t="s">
        <v>51</v>
      </c>
      <c r="B19" s="0" t="s">
        <v>52</v>
      </c>
      <c r="C19" s="0" t="n">
        <f aca="false">Counts_2024_2025!P19</f>
        <v>3</v>
      </c>
      <c r="D19" s="0" t="n">
        <f aca="false">Counts_2024_2025!AD19</f>
        <v>3</v>
      </c>
      <c r="E19" s="0" t="n">
        <f aca="false">IF(AND(C19&gt;0,D19&gt;0),1,0)</f>
        <v>1</v>
      </c>
      <c r="F19" s="0" t="n">
        <f aca="false">IF(E19=1,5000000/SUM($E$2:$E$85),0)</f>
        <v>60975.6097560976</v>
      </c>
    </row>
    <row r="20" customFormat="false" ht="15" hidden="false" customHeight="false" outlineLevel="0" collapsed="false">
      <c r="A20" s="0" t="s">
        <v>53</v>
      </c>
      <c r="B20" s="0" t="s">
        <v>54</v>
      </c>
      <c r="C20" s="0" t="n">
        <f aca="false">Counts_2024_2025!P20</f>
        <v>2</v>
      </c>
      <c r="D20" s="0" t="n">
        <f aca="false">Counts_2024_2025!AD20</f>
        <v>1</v>
      </c>
      <c r="E20" s="0" t="n">
        <f aca="false">IF(AND(C20&gt;0,D20&gt;0),1,0)</f>
        <v>1</v>
      </c>
      <c r="F20" s="0" t="n">
        <f aca="false">IF(E20=1,5000000/SUM($E$2:$E$85),0)</f>
        <v>60975.6097560976</v>
      </c>
    </row>
    <row r="21" customFormat="false" ht="15" hidden="false" customHeight="false" outlineLevel="0" collapsed="false">
      <c r="A21" s="0" t="s">
        <v>55</v>
      </c>
      <c r="B21" s="0" t="s">
        <v>56</v>
      </c>
      <c r="C21" s="0" t="n">
        <f aca="false">Counts_2024_2025!P21</f>
        <v>5</v>
      </c>
      <c r="D21" s="0" t="n">
        <f aca="false">Counts_2024_2025!AD21</f>
        <v>6</v>
      </c>
      <c r="E21" s="0" t="n">
        <f aca="false">IF(AND(C21&gt;0,D21&gt;0),1,0)</f>
        <v>1</v>
      </c>
      <c r="F21" s="0" t="n">
        <f aca="false">IF(E21=1,5000000/SUM($E$2:$E$85),0)</f>
        <v>60975.6097560976</v>
      </c>
    </row>
    <row r="22" customFormat="false" ht="15" hidden="false" customHeight="false" outlineLevel="0" collapsed="false">
      <c r="A22" s="0" t="s">
        <v>57</v>
      </c>
      <c r="B22" s="0" t="s">
        <v>58</v>
      </c>
      <c r="C22" s="0" t="n">
        <f aca="false">Counts_2024_2025!P22</f>
        <v>5</v>
      </c>
      <c r="D22" s="0" t="n">
        <f aca="false">Counts_2024_2025!AD22</f>
        <v>5</v>
      </c>
      <c r="E22" s="0" t="n">
        <f aca="false">IF(AND(C22&gt;0,D22&gt;0),1,0)</f>
        <v>1</v>
      </c>
      <c r="F22" s="0" t="n">
        <f aca="false">IF(E22=1,5000000/SUM($E$2:$E$85),0)</f>
        <v>60975.6097560976</v>
      </c>
    </row>
    <row r="23" customFormat="false" ht="15" hidden="false" customHeight="false" outlineLevel="0" collapsed="false">
      <c r="A23" s="0" t="s">
        <v>59</v>
      </c>
      <c r="B23" s="0" t="s">
        <v>60</v>
      </c>
      <c r="C23" s="0" t="n">
        <f aca="false">Counts_2024_2025!P23</f>
        <v>2</v>
      </c>
      <c r="D23" s="0" t="n">
        <f aca="false">Counts_2024_2025!AD23</f>
        <v>2</v>
      </c>
      <c r="E23" s="0" t="n">
        <f aca="false">IF(AND(C23&gt;0,D23&gt;0),1,0)</f>
        <v>1</v>
      </c>
      <c r="F23" s="0" t="n">
        <f aca="false">IF(E23=1,5000000/SUM($E$2:$E$85),0)</f>
        <v>60975.6097560976</v>
      </c>
    </row>
    <row r="24" customFormat="false" ht="15" hidden="false" customHeight="false" outlineLevel="0" collapsed="false">
      <c r="A24" s="0" t="s">
        <v>61</v>
      </c>
      <c r="B24" s="0" t="s">
        <v>62</v>
      </c>
      <c r="C24" s="0" t="n">
        <f aca="false">Counts_2024_2025!P24</f>
        <v>47</v>
      </c>
      <c r="D24" s="0" t="n">
        <f aca="false">Counts_2024_2025!AD24</f>
        <v>49</v>
      </c>
      <c r="E24" s="0" t="n">
        <f aca="false">IF(AND(C24&gt;0,D24&gt;0),1,0)</f>
        <v>1</v>
      </c>
      <c r="F24" s="0" t="n">
        <f aca="false">IF(E24=1,5000000/SUM($E$2:$E$85),0)</f>
        <v>60975.6097560976</v>
      </c>
    </row>
    <row r="25" customFormat="false" ht="15" hidden="false" customHeight="false" outlineLevel="0" collapsed="false">
      <c r="A25" s="0" t="s">
        <v>63</v>
      </c>
      <c r="B25" s="0" t="s">
        <v>64</v>
      </c>
      <c r="C25" s="0" t="n">
        <f aca="false">Counts_2024_2025!P25</f>
        <v>0</v>
      </c>
      <c r="D25" s="0" t="n">
        <f aca="false">Counts_2024_2025!AD25</f>
        <v>1</v>
      </c>
      <c r="E25" s="0" t="n">
        <f aca="false">IF(AND(C25&gt;0,D25&gt;0),1,0)</f>
        <v>0</v>
      </c>
      <c r="F25" s="0" t="n">
        <f aca="false">IF(E25=1,5000000/SUM($E$2:$E$85),0)</f>
        <v>0</v>
      </c>
    </row>
    <row r="26" customFormat="false" ht="15" hidden="false" customHeight="false" outlineLevel="0" collapsed="false">
      <c r="A26" s="0" t="s">
        <v>65</v>
      </c>
      <c r="B26" s="0" t="s">
        <v>66</v>
      </c>
      <c r="C26" s="0" t="n">
        <f aca="false">Counts_2024_2025!P26</f>
        <v>13</v>
      </c>
      <c r="D26" s="0" t="n">
        <f aca="false">Counts_2024_2025!AD26</f>
        <v>13</v>
      </c>
      <c r="E26" s="0" t="n">
        <f aca="false">IF(AND(C26&gt;0,D26&gt;0),1,0)</f>
        <v>1</v>
      </c>
      <c r="F26" s="0" t="n">
        <f aca="false">IF(E26=1,5000000/SUM($E$2:$E$85),0)</f>
        <v>60975.6097560976</v>
      </c>
    </row>
    <row r="27" customFormat="false" ht="15" hidden="false" customHeight="false" outlineLevel="0" collapsed="false">
      <c r="A27" s="0" t="s">
        <v>67</v>
      </c>
      <c r="B27" s="0" t="s">
        <v>68</v>
      </c>
      <c r="C27" s="0" t="n">
        <f aca="false">Counts_2024_2025!P27</f>
        <v>144</v>
      </c>
      <c r="D27" s="0" t="n">
        <f aca="false">Counts_2024_2025!AD27</f>
        <v>143</v>
      </c>
      <c r="E27" s="0" t="n">
        <f aca="false">IF(AND(C27&gt;0,D27&gt;0),1,0)</f>
        <v>1</v>
      </c>
      <c r="F27" s="0" t="n">
        <f aca="false">IF(E27=1,5000000/SUM($E$2:$E$85),0)</f>
        <v>60975.6097560976</v>
      </c>
    </row>
    <row r="28" customFormat="false" ht="15" hidden="false" customHeight="false" outlineLevel="0" collapsed="false">
      <c r="A28" s="0" t="s">
        <v>69</v>
      </c>
      <c r="B28" s="0" t="s">
        <v>70</v>
      </c>
      <c r="C28" s="0" t="n">
        <f aca="false">Counts_2024_2025!P28</f>
        <v>18</v>
      </c>
      <c r="D28" s="0" t="n">
        <f aca="false">Counts_2024_2025!AD28</f>
        <v>20</v>
      </c>
      <c r="E28" s="0" t="n">
        <f aca="false">IF(AND(C28&gt;0,D28&gt;0),1,0)</f>
        <v>1</v>
      </c>
      <c r="F28" s="0" t="n">
        <f aca="false">IF(E28=1,5000000/SUM($E$2:$E$85),0)</f>
        <v>60975.6097560976</v>
      </c>
    </row>
    <row r="29" customFormat="false" ht="15" hidden="false" customHeight="false" outlineLevel="0" collapsed="false">
      <c r="A29" s="0" t="s">
        <v>71</v>
      </c>
      <c r="B29" s="0" t="s">
        <v>72</v>
      </c>
      <c r="C29" s="0" t="n">
        <f aca="false">Counts_2024_2025!P29</f>
        <v>8</v>
      </c>
      <c r="D29" s="0" t="n">
        <f aca="false">Counts_2024_2025!AD29</f>
        <v>8</v>
      </c>
      <c r="E29" s="0" t="n">
        <f aca="false">IF(AND(C29&gt;0,D29&gt;0),1,0)</f>
        <v>1</v>
      </c>
      <c r="F29" s="0" t="n">
        <f aca="false">IF(E29=1,5000000/SUM($E$2:$E$85),0)</f>
        <v>60975.6097560976</v>
      </c>
    </row>
    <row r="30" customFormat="false" ht="15" hidden="false" customHeight="false" outlineLevel="0" collapsed="false">
      <c r="A30" s="0" t="s">
        <v>73</v>
      </c>
      <c r="B30" s="0" t="s">
        <v>74</v>
      </c>
      <c r="C30" s="0" t="n">
        <f aca="false">Counts_2024_2025!P30</f>
        <v>4</v>
      </c>
      <c r="D30" s="0" t="n">
        <f aca="false">Counts_2024_2025!AD30</f>
        <v>4</v>
      </c>
      <c r="E30" s="0" t="n">
        <f aca="false">IF(AND(C30&gt;0,D30&gt;0),1,0)</f>
        <v>1</v>
      </c>
      <c r="F30" s="0" t="n">
        <f aca="false">IF(E30=1,5000000/SUM($E$2:$E$85),0)</f>
        <v>60975.6097560976</v>
      </c>
    </row>
    <row r="31" customFormat="false" ht="15" hidden="false" customHeight="false" outlineLevel="0" collapsed="false">
      <c r="A31" s="0" t="s">
        <v>75</v>
      </c>
      <c r="B31" s="0" t="s">
        <v>76</v>
      </c>
      <c r="C31" s="0" t="n">
        <f aca="false">Counts_2024_2025!P31</f>
        <v>7</v>
      </c>
      <c r="D31" s="0" t="n">
        <f aca="false">Counts_2024_2025!AD31</f>
        <v>7</v>
      </c>
      <c r="E31" s="0" t="n">
        <f aca="false">IF(AND(C31&gt;0,D31&gt;0),1,0)</f>
        <v>1</v>
      </c>
      <c r="F31" s="0" t="n">
        <f aca="false">IF(E31=1,5000000/SUM($E$2:$E$85),0)</f>
        <v>60975.6097560976</v>
      </c>
    </row>
    <row r="32" customFormat="false" ht="15" hidden="false" customHeight="false" outlineLevel="0" collapsed="false">
      <c r="A32" s="0" t="s">
        <v>77</v>
      </c>
      <c r="B32" s="0" t="s">
        <v>78</v>
      </c>
      <c r="C32" s="0" t="n">
        <f aca="false">Counts_2024_2025!P32</f>
        <v>27</v>
      </c>
      <c r="D32" s="0" t="n">
        <f aca="false">Counts_2024_2025!AD32</f>
        <v>25</v>
      </c>
      <c r="E32" s="0" t="n">
        <f aca="false">IF(AND(C32&gt;0,D32&gt;0),1,0)</f>
        <v>1</v>
      </c>
      <c r="F32" s="0" t="n">
        <f aca="false">IF(E32=1,5000000/SUM($E$2:$E$85),0)</f>
        <v>60975.6097560976</v>
      </c>
    </row>
    <row r="33" customFormat="false" ht="15" hidden="false" customHeight="false" outlineLevel="0" collapsed="false">
      <c r="A33" s="0" t="s">
        <v>79</v>
      </c>
      <c r="B33" s="0" t="s">
        <v>80</v>
      </c>
      <c r="C33" s="0" t="n">
        <f aca="false">Counts_2024_2025!P33</f>
        <v>9</v>
      </c>
      <c r="D33" s="0" t="n">
        <f aca="false">Counts_2024_2025!AD33</f>
        <v>10</v>
      </c>
      <c r="E33" s="0" t="n">
        <f aca="false">IF(AND(C33&gt;0,D33&gt;0),1,0)</f>
        <v>1</v>
      </c>
      <c r="F33" s="0" t="n">
        <f aca="false">IF(E33=1,5000000/SUM($E$2:$E$85),0)</f>
        <v>60975.6097560976</v>
      </c>
    </row>
    <row r="34" customFormat="false" ht="15" hidden="false" customHeight="false" outlineLevel="0" collapsed="false">
      <c r="A34" s="0" t="s">
        <v>81</v>
      </c>
      <c r="B34" s="0" t="s">
        <v>82</v>
      </c>
      <c r="C34" s="0" t="n">
        <f aca="false">Counts_2024_2025!P34</f>
        <v>26</v>
      </c>
      <c r="D34" s="0" t="n">
        <f aca="false">Counts_2024_2025!AD34</f>
        <v>26</v>
      </c>
      <c r="E34" s="0" t="n">
        <f aca="false">IF(AND(C34&gt;0,D34&gt;0),1,0)</f>
        <v>1</v>
      </c>
      <c r="F34" s="0" t="n">
        <f aca="false">IF(E34=1,5000000/SUM($E$2:$E$85),0)</f>
        <v>60975.6097560976</v>
      </c>
    </row>
    <row r="35" customFormat="false" ht="15" hidden="false" customHeight="false" outlineLevel="0" collapsed="false">
      <c r="A35" s="0" t="s">
        <v>83</v>
      </c>
      <c r="B35" s="0" t="s">
        <v>84</v>
      </c>
      <c r="C35" s="0" t="n">
        <f aca="false">Counts_2024_2025!P35</f>
        <v>13</v>
      </c>
      <c r="D35" s="0" t="n">
        <f aca="false">Counts_2024_2025!AD35</f>
        <v>17</v>
      </c>
      <c r="E35" s="0" t="n">
        <f aca="false">IF(AND(C35&gt;0,D35&gt;0),1,0)</f>
        <v>1</v>
      </c>
      <c r="F35" s="0" t="n">
        <f aca="false">IF(E35=1,5000000/SUM($E$2:$E$85),0)</f>
        <v>60975.6097560976</v>
      </c>
    </row>
    <row r="36" customFormat="false" ht="15" hidden="false" customHeight="false" outlineLevel="0" collapsed="false">
      <c r="A36" s="0" t="s">
        <v>85</v>
      </c>
      <c r="B36" s="0" t="s">
        <v>86</v>
      </c>
      <c r="C36" s="0" t="n">
        <f aca="false">Counts_2024_2025!P36</f>
        <v>46</v>
      </c>
      <c r="D36" s="0" t="n">
        <f aca="false">Counts_2024_2025!AD36</f>
        <v>49</v>
      </c>
      <c r="E36" s="0" t="n">
        <f aca="false">IF(AND(C36&gt;0,D36&gt;0),1,0)</f>
        <v>1</v>
      </c>
      <c r="F36" s="0" t="n">
        <f aca="false">IF(E36=1,5000000/SUM($E$2:$E$85),0)</f>
        <v>60975.6097560976</v>
      </c>
    </row>
    <row r="37" customFormat="false" ht="15" hidden="false" customHeight="false" outlineLevel="0" collapsed="false">
      <c r="A37" s="0" t="s">
        <v>87</v>
      </c>
      <c r="B37" s="0" t="s">
        <v>88</v>
      </c>
      <c r="C37" s="0" t="n">
        <f aca="false">Counts_2024_2025!P37</f>
        <v>9</v>
      </c>
      <c r="D37" s="0" t="n">
        <f aca="false">Counts_2024_2025!AD37</f>
        <v>8</v>
      </c>
      <c r="E37" s="0" t="n">
        <f aca="false">IF(AND(C37&gt;0,D37&gt;0),1,0)</f>
        <v>1</v>
      </c>
      <c r="F37" s="0" t="n">
        <f aca="false">IF(E37=1,5000000/SUM($E$2:$E$85),0)</f>
        <v>60975.6097560976</v>
      </c>
    </row>
    <row r="38" customFormat="false" ht="15" hidden="false" customHeight="false" outlineLevel="0" collapsed="false">
      <c r="A38" s="0" t="s">
        <v>89</v>
      </c>
      <c r="B38" s="0" t="s">
        <v>90</v>
      </c>
      <c r="C38" s="0" t="n">
        <f aca="false">Counts_2024_2025!P38</f>
        <v>10</v>
      </c>
      <c r="D38" s="0" t="n">
        <f aca="false">Counts_2024_2025!AD38</f>
        <v>11</v>
      </c>
      <c r="E38" s="0" t="n">
        <f aca="false">IF(AND(C38&gt;0,D38&gt;0),1,0)</f>
        <v>1</v>
      </c>
      <c r="F38" s="0" t="n">
        <f aca="false">IF(E38=1,5000000/SUM($E$2:$E$85),0)</f>
        <v>60975.6097560976</v>
      </c>
    </row>
    <row r="39" customFormat="false" ht="15" hidden="false" customHeight="false" outlineLevel="0" collapsed="false">
      <c r="A39" s="0" t="s">
        <v>91</v>
      </c>
      <c r="B39" s="0" t="s">
        <v>92</v>
      </c>
      <c r="C39" s="0" t="n">
        <f aca="false">Counts_2024_2025!P39</f>
        <v>13</v>
      </c>
      <c r="D39" s="0" t="n">
        <f aca="false">Counts_2024_2025!AD39</f>
        <v>13</v>
      </c>
      <c r="E39" s="0" t="n">
        <f aca="false">IF(AND(C39&gt;0,D39&gt;0),1,0)</f>
        <v>1</v>
      </c>
      <c r="F39" s="0" t="n">
        <f aca="false">IF(E39=1,5000000/SUM($E$2:$E$85),0)</f>
        <v>60975.6097560976</v>
      </c>
    </row>
    <row r="40" customFormat="false" ht="15" hidden="false" customHeight="false" outlineLevel="0" collapsed="false">
      <c r="A40" s="0" t="s">
        <v>93</v>
      </c>
      <c r="B40" s="0" t="s">
        <v>94</v>
      </c>
      <c r="C40" s="0" t="n">
        <f aca="false">Counts_2024_2025!P40</f>
        <v>81</v>
      </c>
      <c r="D40" s="0" t="n">
        <f aca="false">Counts_2024_2025!AD40</f>
        <v>79</v>
      </c>
      <c r="E40" s="0" t="n">
        <f aca="false">IF(AND(C40&gt;0,D40&gt;0),1,0)</f>
        <v>1</v>
      </c>
      <c r="F40" s="0" t="n">
        <f aca="false">IF(E40=1,5000000/SUM($E$2:$E$85),0)</f>
        <v>60975.6097560976</v>
      </c>
    </row>
    <row r="41" customFormat="false" ht="15" hidden="false" customHeight="false" outlineLevel="0" collapsed="false">
      <c r="A41" s="0" t="s">
        <v>95</v>
      </c>
      <c r="B41" s="0" t="s">
        <v>96</v>
      </c>
      <c r="C41" s="0" t="n">
        <f aca="false">Counts_2024_2025!P41</f>
        <v>5</v>
      </c>
      <c r="D41" s="0" t="n">
        <f aca="false">Counts_2024_2025!AD41</f>
        <v>4</v>
      </c>
      <c r="E41" s="0" t="n">
        <f aca="false">IF(AND(C41&gt;0,D41&gt;0),1,0)</f>
        <v>1</v>
      </c>
      <c r="F41" s="0" t="n">
        <f aca="false">IF(E41=1,5000000/SUM($E$2:$E$85),0)</f>
        <v>60975.6097560976</v>
      </c>
    </row>
    <row r="42" customFormat="false" ht="15" hidden="false" customHeight="false" outlineLevel="0" collapsed="false">
      <c r="A42" s="0" t="s">
        <v>97</v>
      </c>
      <c r="B42" s="0" t="s">
        <v>98</v>
      </c>
      <c r="C42" s="0" t="n">
        <f aca="false">Counts_2024_2025!P42</f>
        <v>27</v>
      </c>
      <c r="D42" s="0" t="n">
        <f aca="false">Counts_2024_2025!AD42</f>
        <v>26</v>
      </c>
      <c r="E42" s="0" t="n">
        <f aca="false">IF(AND(C42&gt;0,D42&gt;0),1,0)</f>
        <v>1</v>
      </c>
      <c r="F42" s="0" t="n">
        <f aca="false">IF(E42=1,5000000/SUM($E$2:$E$85),0)</f>
        <v>60975.6097560976</v>
      </c>
    </row>
    <row r="43" customFormat="false" ht="15" hidden="false" customHeight="false" outlineLevel="0" collapsed="false">
      <c r="A43" s="0" t="s">
        <v>99</v>
      </c>
      <c r="B43" s="0" t="s">
        <v>100</v>
      </c>
      <c r="C43" s="0" t="n">
        <f aca="false">Counts_2024_2025!P43</f>
        <v>5</v>
      </c>
      <c r="D43" s="0" t="n">
        <f aca="false">Counts_2024_2025!AD43</f>
        <v>5</v>
      </c>
      <c r="E43" s="0" t="n">
        <f aca="false">IF(AND(C43&gt;0,D43&gt;0),1,0)</f>
        <v>1</v>
      </c>
      <c r="F43" s="0" t="n">
        <f aca="false">IF(E43=1,5000000/SUM($E$2:$E$85),0)</f>
        <v>60975.6097560976</v>
      </c>
    </row>
    <row r="44" customFormat="false" ht="15" hidden="false" customHeight="false" outlineLevel="0" collapsed="false">
      <c r="A44" s="0" t="s">
        <v>101</v>
      </c>
      <c r="B44" s="0" t="s">
        <v>102</v>
      </c>
      <c r="C44" s="0" t="n">
        <f aca="false">Counts_2024_2025!P44</f>
        <v>3</v>
      </c>
      <c r="D44" s="0" t="n">
        <f aca="false">Counts_2024_2025!AD44</f>
        <v>3</v>
      </c>
      <c r="E44" s="0" t="n">
        <f aca="false">IF(AND(C44&gt;0,D44&gt;0),1,0)</f>
        <v>1</v>
      </c>
      <c r="F44" s="0" t="n">
        <f aca="false">IF(E44=1,5000000/SUM($E$2:$E$85),0)</f>
        <v>60975.6097560976</v>
      </c>
    </row>
    <row r="45" customFormat="false" ht="15" hidden="false" customHeight="false" outlineLevel="0" collapsed="false">
      <c r="A45" s="0" t="s">
        <v>103</v>
      </c>
      <c r="B45" s="0" t="s">
        <v>104</v>
      </c>
      <c r="C45" s="0" t="n">
        <f aca="false">Counts_2024_2025!P45</f>
        <v>4</v>
      </c>
      <c r="D45" s="0" t="n">
        <f aca="false">Counts_2024_2025!AD45</f>
        <v>4</v>
      </c>
      <c r="E45" s="0" t="n">
        <f aca="false">IF(AND(C45&gt;0,D45&gt;0),1,0)</f>
        <v>1</v>
      </c>
      <c r="F45" s="0" t="n">
        <f aca="false">IF(E45=1,5000000/SUM($E$2:$E$85),0)</f>
        <v>60975.6097560976</v>
      </c>
    </row>
    <row r="46" customFormat="false" ht="15" hidden="false" customHeight="false" outlineLevel="0" collapsed="false">
      <c r="A46" s="0" t="s">
        <v>105</v>
      </c>
      <c r="B46" s="0" t="s">
        <v>106</v>
      </c>
      <c r="C46" s="0" t="n">
        <f aca="false">Counts_2024_2025!P46</f>
        <v>6</v>
      </c>
      <c r="D46" s="0" t="n">
        <f aca="false">Counts_2024_2025!AD46</f>
        <v>7</v>
      </c>
      <c r="E46" s="0" t="n">
        <f aca="false">IF(AND(C46&gt;0,D46&gt;0),1,0)</f>
        <v>1</v>
      </c>
      <c r="F46" s="0" t="n">
        <f aca="false">IF(E46=1,5000000/SUM($E$2:$E$85),0)</f>
        <v>60975.6097560976</v>
      </c>
    </row>
    <row r="47" customFormat="false" ht="15" hidden="false" customHeight="false" outlineLevel="0" collapsed="false">
      <c r="A47" s="0" t="s">
        <v>107</v>
      </c>
      <c r="B47" s="0" t="s">
        <v>108</v>
      </c>
      <c r="C47" s="0" t="n">
        <f aca="false">Counts_2024_2025!P47</f>
        <v>6</v>
      </c>
      <c r="D47" s="0" t="n">
        <f aca="false">Counts_2024_2025!AD47</f>
        <v>6</v>
      </c>
      <c r="E47" s="0" t="n">
        <f aca="false">IF(AND(C47&gt;0,D47&gt;0),1,0)</f>
        <v>1</v>
      </c>
      <c r="F47" s="0" t="n">
        <f aca="false">IF(E47=1,5000000/SUM($E$2:$E$85),0)</f>
        <v>60975.6097560976</v>
      </c>
    </row>
    <row r="48" customFormat="false" ht="15" hidden="false" customHeight="false" outlineLevel="0" collapsed="false">
      <c r="A48" s="0" t="s">
        <v>109</v>
      </c>
      <c r="B48" s="0" t="s">
        <v>110</v>
      </c>
      <c r="C48" s="0" t="n">
        <f aca="false">Counts_2024_2025!P48</f>
        <v>7</v>
      </c>
      <c r="D48" s="0" t="n">
        <f aca="false">Counts_2024_2025!AD48</f>
        <v>7</v>
      </c>
      <c r="E48" s="0" t="n">
        <f aca="false">IF(AND(C48&gt;0,D48&gt;0),1,0)</f>
        <v>1</v>
      </c>
      <c r="F48" s="0" t="n">
        <f aca="false">IF(E48=1,5000000/SUM($E$2:$E$85),0)</f>
        <v>60975.6097560976</v>
      </c>
    </row>
    <row r="49" customFormat="false" ht="15" hidden="false" customHeight="false" outlineLevel="0" collapsed="false">
      <c r="A49" s="0" t="s">
        <v>111</v>
      </c>
      <c r="B49" s="0" t="s">
        <v>112</v>
      </c>
      <c r="C49" s="0" t="n">
        <f aca="false">Counts_2024_2025!P49</f>
        <v>4</v>
      </c>
      <c r="D49" s="0" t="n">
        <f aca="false">Counts_2024_2025!AD49</f>
        <v>5</v>
      </c>
      <c r="E49" s="0" t="n">
        <f aca="false">IF(AND(C49&gt;0,D49&gt;0),1,0)</f>
        <v>1</v>
      </c>
      <c r="F49" s="0" t="n">
        <f aca="false">IF(E49=1,5000000/SUM($E$2:$E$85),0)</f>
        <v>60975.6097560976</v>
      </c>
    </row>
    <row r="50" customFormat="false" ht="15" hidden="false" customHeight="false" outlineLevel="0" collapsed="false">
      <c r="A50" s="0" t="s">
        <v>113</v>
      </c>
      <c r="B50" s="0" t="s">
        <v>114</v>
      </c>
      <c r="C50" s="0" t="n">
        <f aca="false">Counts_2024_2025!P50</f>
        <v>90</v>
      </c>
      <c r="D50" s="0" t="n">
        <f aca="false">Counts_2024_2025!AD50</f>
        <v>92</v>
      </c>
      <c r="E50" s="0" t="n">
        <f aca="false">IF(AND(C50&gt;0,D50&gt;0),1,0)</f>
        <v>1</v>
      </c>
      <c r="F50" s="0" t="n">
        <f aca="false">IF(E50=1,5000000/SUM($E$2:$E$85),0)</f>
        <v>60975.6097560976</v>
      </c>
    </row>
    <row r="51" customFormat="false" ht="15" hidden="false" customHeight="false" outlineLevel="0" collapsed="false">
      <c r="A51" s="0" t="s">
        <v>115</v>
      </c>
      <c r="B51" s="0" t="s">
        <v>116</v>
      </c>
      <c r="C51" s="0" t="n">
        <f aca="false">Counts_2024_2025!P51</f>
        <v>10</v>
      </c>
      <c r="D51" s="0" t="n">
        <f aca="false">Counts_2024_2025!AD51</f>
        <v>10</v>
      </c>
      <c r="E51" s="0" t="n">
        <f aca="false">IF(AND(C51&gt;0,D51&gt;0),1,0)</f>
        <v>1</v>
      </c>
      <c r="F51" s="0" t="n">
        <f aca="false">IF(E51=1,5000000/SUM($E$2:$E$85),0)</f>
        <v>60975.6097560976</v>
      </c>
    </row>
    <row r="52" customFormat="false" ht="15" hidden="false" customHeight="false" outlineLevel="0" collapsed="false">
      <c r="A52" s="0" t="s">
        <v>117</v>
      </c>
      <c r="B52" s="0" t="s">
        <v>118</v>
      </c>
      <c r="C52" s="0" t="n">
        <f aca="false">Counts_2024_2025!P52</f>
        <v>3</v>
      </c>
      <c r="D52" s="0" t="n">
        <f aca="false">Counts_2024_2025!AD52</f>
        <v>4</v>
      </c>
      <c r="E52" s="0" t="n">
        <f aca="false">IF(AND(C52&gt;0,D52&gt;0),1,0)</f>
        <v>1</v>
      </c>
      <c r="F52" s="0" t="n">
        <f aca="false">IF(E52=1,5000000/SUM($E$2:$E$85),0)</f>
        <v>60975.6097560976</v>
      </c>
    </row>
    <row r="53" customFormat="false" ht="15" hidden="false" customHeight="false" outlineLevel="0" collapsed="false">
      <c r="A53" s="0" t="s">
        <v>119</v>
      </c>
      <c r="B53" s="0" t="s">
        <v>120</v>
      </c>
      <c r="C53" s="0" t="n">
        <f aca="false">Counts_2024_2025!P53</f>
        <v>7</v>
      </c>
      <c r="D53" s="0" t="n">
        <f aca="false">Counts_2024_2025!AD53</f>
        <v>7</v>
      </c>
      <c r="E53" s="0" t="n">
        <f aca="false">IF(AND(C53&gt;0,D53&gt;0),1,0)</f>
        <v>1</v>
      </c>
      <c r="F53" s="0" t="n">
        <f aca="false">IF(E53=1,5000000/SUM($E$2:$E$85),0)</f>
        <v>60975.6097560976</v>
      </c>
    </row>
    <row r="54" customFormat="false" ht="15" hidden="false" customHeight="false" outlineLevel="0" collapsed="false">
      <c r="A54" s="0" t="s">
        <v>121</v>
      </c>
      <c r="B54" s="0" t="s">
        <v>122</v>
      </c>
      <c r="C54" s="0" t="n">
        <f aca="false">Counts_2024_2025!P54</f>
        <v>60</v>
      </c>
      <c r="D54" s="0" t="n">
        <f aca="false">Counts_2024_2025!AD54</f>
        <v>59</v>
      </c>
      <c r="E54" s="0" t="n">
        <f aca="false">IF(AND(C54&gt;0,D54&gt;0),1,0)</f>
        <v>1</v>
      </c>
      <c r="F54" s="0" t="n">
        <f aca="false">IF(E54=1,5000000/SUM($E$2:$E$85),0)</f>
        <v>60975.6097560976</v>
      </c>
    </row>
    <row r="55" customFormat="false" ht="15" hidden="false" customHeight="false" outlineLevel="0" collapsed="false">
      <c r="A55" s="0" t="s">
        <v>123</v>
      </c>
      <c r="B55" s="0" t="s">
        <v>124</v>
      </c>
      <c r="C55" s="0" t="n">
        <f aca="false">Counts_2024_2025!P55</f>
        <v>24</v>
      </c>
      <c r="D55" s="0" t="n">
        <f aca="false">Counts_2024_2025!AD55</f>
        <v>22</v>
      </c>
      <c r="E55" s="0" t="n">
        <f aca="false">IF(AND(C55&gt;0,D55&gt;0),1,0)</f>
        <v>1</v>
      </c>
      <c r="F55" s="0" t="n">
        <f aca="false">IF(E55=1,5000000/SUM($E$2:$E$85),0)</f>
        <v>60975.6097560976</v>
      </c>
    </row>
    <row r="56" customFormat="false" ht="15" hidden="false" customHeight="false" outlineLevel="0" collapsed="false">
      <c r="A56" s="0" t="s">
        <v>125</v>
      </c>
      <c r="B56" s="0" t="s">
        <v>126</v>
      </c>
      <c r="C56" s="0" t="n">
        <f aca="false">Counts_2024_2025!P56</f>
        <v>41</v>
      </c>
      <c r="D56" s="0" t="n">
        <f aca="false">Counts_2024_2025!AD56</f>
        <v>38</v>
      </c>
      <c r="E56" s="0" t="n">
        <f aca="false">IF(AND(C56&gt;0,D56&gt;0),1,0)</f>
        <v>1</v>
      </c>
      <c r="F56" s="0" t="n">
        <f aca="false">IF(E56=1,5000000/SUM($E$2:$E$85),0)</f>
        <v>60975.6097560976</v>
      </c>
    </row>
    <row r="57" customFormat="false" ht="15" hidden="false" customHeight="false" outlineLevel="0" collapsed="false">
      <c r="A57" s="0" t="s">
        <v>127</v>
      </c>
      <c r="B57" s="0" t="s">
        <v>128</v>
      </c>
      <c r="C57" s="0" t="n">
        <f aca="false">Counts_2024_2025!P57</f>
        <v>41</v>
      </c>
      <c r="D57" s="0" t="n">
        <f aca="false">Counts_2024_2025!AD57</f>
        <v>44</v>
      </c>
      <c r="E57" s="0" t="n">
        <f aca="false">IF(AND(C57&gt;0,D57&gt;0),1,0)</f>
        <v>1</v>
      </c>
      <c r="F57" s="0" t="n">
        <f aca="false">IF(E57=1,5000000/SUM($E$2:$E$85),0)</f>
        <v>60975.6097560976</v>
      </c>
    </row>
    <row r="58" customFormat="false" ht="15" hidden="false" customHeight="false" outlineLevel="0" collapsed="false">
      <c r="A58" s="0" t="s">
        <v>129</v>
      </c>
      <c r="B58" s="0" t="s">
        <v>130</v>
      </c>
      <c r="C58" s="0" t="n">
        <f aca="false">Counts_2024_2025!P58</f>
        <v>15</v>
      </c>
      <c r="D58" s="0" t="n">
        <f aca="false">Counts_2024_2025!AD58</f>
        <v>14</v>
      </c>
      <c r="E58" s="0" t="n">
        <f aca="false">IF(AND(C58&gt;0,D58&gt;0),1,0)</f>
        <v>1</v>
      </c>
      <c r="F58" s="0" t="n">
        <f aca="false">IF(E58=1,5000000/SUM($E$2:$E$85),0)</f>
        <v>60975.6097560976</v>
      </c>
    </row>
    <row r="59" customFormat="false" ht="15" hidden="false" customHeight="false" outlineLevel="0" collapsed="false">
      <c r="A59" s="0" t="s">
        <v>131</v>
      </c>
      <c r="B59" s="0" t="s">
        <v>132</v>
      </c>
      <c r="C59" s="0" t="n">
        <f aca="false">Counts_2024_2025!P59</f>
        <v>17</v>
      </c>
      <c r="D59" s="0" t="n">
        <f aca="false">Counts_2024_2025!AD59</f>
        <v>15</v>
      </c>
      <c r="E59" s="0" t="n">
        <f aca="false">IF(AND(C59&gt;0,D59&gt;0),1,0)</f>
        <v>1</v>
      </c>
      <c r="F59" s="0" t="n">
        <f aca="false">IF(E59=1,5000000/SUM($E$2:$E$85),0)</f>
        <v>60975.6097560976</v>
      </c>
    </row>
    <row r="60" customFormat="false" ht="15" hidden="false" customHeight="false" outlineLevel="0" collapsed="false">
      <c r="A60" s="0" t="s">
        <v>133</v>
      </c>
      <c r="B60" s="0" t="s">
        <v>134</v>
      </c>
      <c r="C60" s="0" t="n">
        <f aca="false">Counts_2024_2025!P60</f>
        <v>22</v>
      </c>
      <c r="D60" s="0" t="n">
        <f aca="false">Counts_2024_2025!AD60</f>
        <v>21</v>
      </c>
      <c r="E60" s="0" t="n">
        <f aca="false">IF(AND(C60&gt;0,D60&gt;0),1,0)</f>
        <v>1</v>
      </c>
      <c r="F60" s="0" t="n">
        <f aca="false">IF(E60=1,5000000/SUM($E$2:$E$85),0)</f>
        <v>60975.6097560976</v>
      </c>
    </row>
    <row r="61" customFormat="false" ht="15" hidden="false" customHeight="false" outlineLevel="0" collapsed="false">
      <c r="A61" s="0" t="s">
        <v>135</v>
      </c>
      <c r="B61" s="0" t="s">
        <v>136</v>
      </c>
      <c r="C61" s="0" t="n">
        <f aca="false">Counts_2024_2025!P61</f>
        <v>9</v>
      </c>
      <c r="D61" s="0" t="n">
        <f aca="false">Counts_2024_2025!AD61</f>
        <v>7</v>
      </c>
      <c r="E61" s="0" t="n">
        <f aca="false">IF(AND(C61&gt;0,D61&gt;0),1,0)</f>
        <v>1</v>
      </c>
      <c r="F61" s="0" t="n">
        <f aca="false">IF(E61=1,5000000/SUM($E$2:$E$85),0)</f>
        <v>60975.6097560976</v>
      </c>
    </row>
    <row r="62" customFormat="false" ht="15" hidden="false" customHeight="false" outlineLevel="0" collapsed="false">
      <c r="A62" s="0" t="s">
        <v>137</v>
      </c>
      <c r="B62" s="0" t="s">
        <v>138</v>
      </c>
      <c r="C62" s="0" t="n">
        <f aca="false">Counts_2024_2025!P62</f>
        <v>8</v>
      </c>
      <c r="D62" s="0" t="n">
        <f aca="false">Counts_2024_2025!AD62</f>
        <v>7</v>
      </c>
      <c r="E62" s="0" t="n">
        <f aca="false">IF(AND(C62&gt;0,D62&gt;0),1,0)</f>
        <v>1</v>
      </c>
      <c r="F62" s="0" t="n">
        <f aca="false">IF(E62=1,5000000/SUM($E$2:$E$85),0)</f>
        <v>60975.6097560976</v>
      </c>
    </row>
    <row r="63" customFormat="false" ht="15" hidden="false" customHeight="false" outlineLevel="0" collapsed="false">
      <c r="A63" s="0" t="s">
        <v>139</v>
      </c>
      <c r="B63" s="0" t="s">
        <v>140</v>
      </c>
      <c r="C63" s="0" t="n">
        <f aca="false">Counts_2024_2025!P63</f>
        <v>22</v>
      </c>
      <c r="D63" s="0" t="n">
        <f aca="false">Counts_2024_2025!AD63</f>
        <v>22</v>
      </c>
      <c r="E63" s="0" t="n">
        <f aca="false">IF(AND(C63&gt;0,D63&gt;0),1,0)</f>
        <v>1</v>
      </c>
      <c r="F63" s="0" t="n">
        <f aca="false">IF(E63=1,5000000/SUM($E$2:$E$85),0)</f>
        <v>60975.6097560976</v>
      </c>
    </row>
    <row r="64" customFormat="false" ht="15" hidden="false" customHeight="false" outlineLevel="0" collapsed="false">
      <c r="A64" s="0" t="s">
        <v>141</v>
      </c>
      <c r="B64" s="0" t="s">
        <v>142</v>
      </c>
      <c r="C64" s="0" t="n">
        <f aca="false">Counts_2024_2025!P64</f>
        <v>4</v>
      </c>
      <c r="D64" s="0" t="n">
        <f aca="false">Counts_2024_2025!AD64</f>
        <v>5</v>
      </c>
      <c r="E64" s="0" t="n">
        <f aca="false">IF(AND(C64&gt;0,D64&gt;0),1,0)</f>
        <v>1</v>
      </c>
      <c r="F64" s="0" t="n">
        <f aca="false">IF(E64=1,5000000/SUM($E$2:$E$85),0)</f>
        <v>60975.6097560976</v>
      </c>
    </row>
    <row r="65" customFormat="false" ht="15" hidden="false" customHeight="false" outlineLevel="0" collapsed="false">
      <c r="A65" s="0" t="s">
        <v>143</v>
      </c>
      <c r="B65" s="0" t="s">
        <v>144</v>
      </c>
      <c r="C65" s="0" t="n">
        <f aca="false">Counts_2024_2025!P65</f>
        <v>7</v>
      </c>
      <c r="D65" s="0" t="n">
        <f aca="false">Counts_2024_2025!AD65</f>
        <v>7</v>
      </c>
      <c r="E65" s="0" t="n">
        <f aca="false">IF(AND(C65&gt;0,D65&gt;0),1,0)</f>
        <v>1</v>
      </c>
      <c r="F65" s="0" t="n">
        <f aca="false">IF(E65=1,5000000/SUM($E$2:$E$85),0)</f>
        <v>60975.6097560976</v>
      </c>
    </row>
    <row r="66" customFormat="false" ht="15" hidden="false" customHeight="false" outlineLevel="0" collapsed="false">
      <c r="A66" s="0" t="s">
        <v>145</v>
      </c>
      <c r="B66" s="0" t="s">
        <v>146</v>
      </c>
      <c r="C66" s="0" t="n">
        <f aca="false">Counts_2024_2025!P66</f>
        <v>3</v>
      </c>
      <c r="D66" s="0" t="n">
        <f aca="false">Counts_2024_2025!AD66</f>
        <v>2</v>
      </c>
      <c r="E66" s="0" t="n">
        <f aca="false">IF(AND(C66&gt;0,D66&gt;0),1,0)</f>
        <v>1</v>
      </c>
      <c r="F66" s="0" t="n">
        <f aca="false">IF(E66=1,5000000/SUM($E$2:$E$85),0)</f>
        <v>60975.6097560976</v>
      </c>
    </row>
    <row r="67" customFormat="false" ht="15" hidden="false" customHeight="false" outlineLevel="0" collapsed="false">
      <c r="A67" s="0" t="s">
        <v>147</v>
      </c>
      <c r="B67" s="0" t="s">
        <v>148</v>
      </c>
      <c r="C67" s="0" t="n">
        <f aca="false">Counts_2024_2025!P67</f>
        <v>14</v>
      </c>
      <c r="D67" s="0" t="n">
        <f aca="false">Counts_2024_2025!AD67</f>
        <v>16</v>
      </c>
      <c r="E67" s="0" t="n">
        <f aca="false">IF(AND(C67&gt;0,D67&gt;0),1,0)</f>
        <v>1</v>
      </c>
      <c r="F67" s="0" t="n">
        <f aca="false">IF(E67=1,5000000/SUM($E$2:$E$85),0)</f>
        <v>60975.6097560976</v>
      </c>
    </row>
    <row r="68" customFormat="false" ht="15" hidden="false" customHeight="false" outlineLevel="0" collapsed="false">
      <c r="A68" s="0" t="s">
        <v>149</v>
      </c>
      <c r="B68" s="0" t="s">
        <v>150</v>
      </c>
      <c r="C68" s="0" t="n">
        <f aca="false">Counts_2024_2025!P68</f>
        <v>28</v>
      </c>
      <c r="D68" s="0" t="n">
        <f aca="false">Counts_2024_2025!AD68</f>
        <v>32</v>
      </c>
      <c r="E68" s="0" t="n">
        <f aca="false">IF(AND(C68&gt;0,D68&gt;0),1,0)</f>
        <v>1</v>
      </c>
      <c r="F68" s="0" t="n">
        <f aca="false">IF(E68=1,5000000/SUM($E$2:$E$85),0)</f>
        <v>60975.6097560976</v>
      </c>
    </row>
    <row r="69" customFormat="false" ht="15" hidden="false" customHeight="false" outlineLevel="0" collapsed="false">
      <c r="A69" s="0" t="s">
        <v>151</v>
      </c>
      <c r="B69" s="0" t="s">
        <v>152</v>
      </c>
      <c r="C69" s="0" t="n">
        <f aca="false">Counts_2024_2025!P69</f>
        <v>2</v>
      </c>
      <c r="D69" s="0" t="n">
        <f aca="false">Counts_2024_2025!AD69</f>
        <v>2</v>
      </c>
      <c r="E69" s="0" t="n">
        <f aca="false">IF(AND(C69&gt;0,D69&gt;0),1,0)</f>
        <v>1</v>
      </c>
      <c r="F69" s="0" t="n">
        <f aca="false">IF(E69=1,5000000/SUM($E$2:$E$85),0)</f>
        <v>60975.6097560976</v>
      </c>
    </row>
    <row r="70" customFormat="false" ht="15" hidden="false" customHeight="false" outlineLevel="0" collapsed="false">
      <c r="A70" s="0" t="s">
        <v>153</v>
      </c>
      <c r="B70" s="0" t="s">
        <v>154</v>
      </c>
      <c r="C70" s="0" t="n">
        <f aca="false">Counts_2024_2025!P70</f>
        <v>8</v>
      </c>
      <c r="D70" s="0" t="n">
        <f aca="false">Counts_2024_2025!AD70</f>
        <v>9</v>
      </c>
      <c r="E70" s="0" t="n">
        <f aca="false">IF(AND(C70&gt;0,D70&gt;0),1,0)</f>
        <v>1</v>
      </c>
      <c r="F70" s="0" t="n">
        <f aca="false">IF(E70=1,5000000/SUM($E$2:$E$85),0)</f>
        <v>60975.6097560976</v>
      </c>
    </row>
    <row r="71" customFormat="false" ht="15" hidden="false" customHeight="false" outlineLevel="0" collapsed="false">
      <c r="A71" s="0" t="s">
        <v>155</v>
      </c>
      <c r="B71" s="0" t="s">
        <v>156</v>
      </c>
      <c r="C71" s="0" t="n">
        <f aca="false">Counts_2024_2025!P71</f>
        <v>0</v>
      </c>
      <c r="D71" s="0" t="n">
        <f aca="false">Counts_2024_2025!AD71</f>
        <v>2</v>
      </c>
      <c r="E71" s="0" t="n">
        <f aca="false">IF(AND(C71&gt;0,D71&gt;0),1,0)</f>
        <v>0</v>
      </c>
      <c r="F71" s="0" t="n">
        <f aca="false">IF(E71=1,5000000/SUM($E$2:$E$85),0)</f>
        <v>0</v>
      </c>
    </row>
    <row r="72" customFormat="false" ht="15" hidden="false" customHeight="false" outlineLevel="0" collapsed="false">
      <c r="A72" s="0" t="s">
        <v>157</v>
      </c>
      <c r="B72" s="0" t="s">
        <v>158</v>
      </c>
      <c r="C72" s="0" t="n">
        <f aca="false">Counts_2024_2025!P72</f>
        <v>15</v>
      </c>
      <c r="D72" s="0" t="n">
        <f aca="false">Counts_2024_2025!AD72</f>
        <v>14</v>
      </c>
      <c r="E72" s="0" t="n">
        <f aca="false">IF(AND(C72&gt;0,D72&gt;0),1,0)</f>
        <v>1</v>
      </c>
      <c r="F72" s="0" t="n">
        <f aca="false">IF(E72=1,5000000/SUM($E$2:$E$85),0)</f>
        <v>60975.6097560976</v>
      </c>
    </row>
    <row r="73" customFormat="false" ht="15" hidden="false" customHeight="false" outlineLevel="0" collapsed="false">
      <c r="A73" s="0" t="s">
        <v>159</v>
      </c>
      <c r="B73" s="0" t="s">
        <v>160</v>
      </c>
      <c r="C73" s="0" t="n">
        <f aca="false">Counts_2024_2025!P73</f>
        <v>11</v>
      </c>
      <c r="D73" s="0" t="n">
        <f aca="false">Counts_2024_2025!AD73</f>
        <v>12</v>
      </c>
      <c r="E73" s="0" t="n">
        <f aca="false">IF(AND(C73&gt;0,D73&gt;0),1,0)</f>
        <v>1</v>
      </c>
      <c r="F73" s="0" t="n">
        <f aca="false">IF(E73=1,5000000/SUM($E$2:$E$85),0)</f>
        <v>60975.6097560976</v>
      </c>
    </row>
    <row r="74" customFormat="false" ht="15" hidden="false" customHeight="false" outlineLevel="0" collapsed="false">
      <c r="A74" s="0" t="s">
        <v>161</v>
      </c>
      <c r="B74" s="0" t="s">
        <v>162</v>
      </c>
      <c r="C74" s="0" t="n">
        <f aca="false">Counts_2024_2025!P74</f>
        <v>10</v>
      </c>
      <c r="D74" s="0" t="n">
        <f aca="false">Counts_2024_2025!AD74</f>
        <v>10</v>
      </c>
      <c r="E74" s="0" t="n">
        <f aca="false">IF(AND(C74&gt;0,D74&gt;0),1,0)</f>
        <v>1</v>
      </c>
      <c r="F74" s="0" t="n">
        <f aca="false">IF(E74=1,5000000/SUM($E$2:$E$85),0)</f>
        <v>60975.6097560976</v>
      </c>
    </row>
    <row r="75" customFormat="false" ht="15" hidden="false" customHeight="false" outlineLevel="0" collapsed="false">
      <c r="A75" s="0" t="s">
        <v>163</v>
      </c>
      <c r="B75" s="0" t="s">
        <v>164</v>
      </c>
      <c r="C75" s="0" t="n">
        <f aca="false">Counts_2024_2025!P75</f>
        <v>12</v>
      </c>
      <c r="D75" s="0" t="n">
        <f aca="false">Counts_2024_2025!AD75</f>
        <v>10</v>
      </c>
      <c r="E75" s="0" t="n">
        <f aca="false">IF(AND(C75&gt;0,D75&gt;0),1,0)</f>
        <v>1</v>
      </c>
      <c r="F75" s="0" t="n">
        <f aca="false">IF(E75=1,5000000/SUM($E$2:$E$85),0)</f>
        <v>60975.6097560976</v>
      </c>
    </row>
    <row r="76" customFormat="false" ht="15" hidden="false" customHeight="false" outlineLevel="0" collapsed="false">
      <c r="A76" s="0" t="s">
        <v>165</v>
      </c>
      <c r="B76" s="0" t="s">
        <v>166</v>
      </c>
      <c r="C76" s="0" t="n">
        <f aca="false">Counts_2024_2025!P76</f>
        <v>38</v>
      </c>
      <c r="D76" s="0" t="n">
        <f aca="false">Counts_2024_2025!AD76</f>
        <v>40</v>
      </c>
      <c r="E76" s="0" t="n">
        <f aca="false">IF(AND(C76&gt;0,D76&gt;0),1,0)</f>
        <v>1</v>
      </c>
      <c r="F76" s="0" t="n">
        <f aca="false">IF(E76=1,5000000/SUM($E$2:$E$85),0)</f>
        <v>60975.6097560976</v>
      </c>
    </row>
    <row r="77" customFormat="false" ht="15" hidden="false" customHeight="false" outlineLevel="0" collapsed="false">
      <c r="A77" s="0" t="s">
        <v>167</v>
      </c>
      <c r="B77" s="0" t="s">
        <v>168</v>
      </c>
      <c r="C77" s="0" t="n">
        <f aca="false">Counts_2024_2025!P77</f>
        <v>40</v>
      </c>
      <c r="D77" s="0" t="n">
        <f aca="false">Counts_2024_2025!AD77</f>
        <v>39</v>
      </c>
      <c r="E77" s="0" t="n">
        <f aca="false">IF(AND(C77&gt;0,D77&gt;0),1,0)</f>
        <v>1</v>
      </c>
      <c r="F77" s="0" t="n">
        <f aca="false">IF(E77=1,5000000/SUM($E$2:$E$85),0)</f>
        <v>60975.6097560976</v>
      </c>
    </row>
    <row r="78" customFormat="false" ht="15" hidden="false" customHeight="false" outlineLevel="0" collapsed="false">
      <c r="A78" s="0" t="s">
        <v>169</v>
      </c>
      <c r="B78" s="0" t="s">
        <v>170</v>
      </c>
      <c r="C78" s="0" t="n">
        <f aca="false">Counts_2024_2025!P78</f>
        <v>1</v>
      </c>
      <c r="D78" s="0" t="n">
        <f aca="false">Counts_2024_2025!AD78</f>
        <v>1</v>
      </c>
      <c r="E78" s="0" t="n">
        <f aca="false">IF(AND(C78&gt;0,D78&gt;0),1,0)</f>
        <v>1</v>
      </c>
      <c r="F78" s="0" t="n">
        <f aca="false">IF(E78=1,5000000/SUM($E$2:$E$85),0)</f>
        <v>60975.6097560976</v>
      </c>
    </row>
    <row r="79" customFormat="false" ht="15" hidden="false" customHeight="false" outlineLevel="0" collapsed="false">
      <c r="A79" s="0" t="s">
        <v>171</v>
      </c>
      <c r="B79" s="0" t="s">
        <v>172</v>
      </c>
      <c r="C79" s="0" t="n">
        <f aca="false">Counts_2024_2025!P79</f>
        <v>1</v>
      </c>
      <c r="D79" s="0" t="n">
        <f aca="false">Counts_2024_2025!AD79</f>
        <v>1</v>
      </c>
      <c r="E79" s="0" t="n">
        <f aca="false">IF(AND(C79&gt;0,D79&gt;0),1,0)</f>
        <v>1</v>
      </c>
      <c r="F79" s="0" t="n">
        <f aca="false">IF(E79=1,5000000/SUM($E$2:$E$85),0)</f>
        <v>60975.6097560976</v>
      </c>
    </row>
    <row r="80" customFormat="false" ht="15" hidden="false" customHeight="false" outlineLevel="0" collapsed="false">
      <c r="A80" s="0" t="s">
        <v>173</v>
      </c>
      <c r="B80" s="0" t="s">
        <v>174</v>
      </c>
      <c r="C80" s="0" t="n">
        <f aca="false">Counts_2024_2025!P80</f>
        <v>5</v>
      </c>
      <c r="D80" s="0" t="n">
        <f aca="false">Counts_2024_2025!AD80</f>
        <v>5</v>
      </c>
      <c r="E80" s="0" t="n">
        <f aca="false">IF(AND(C80&gt;0,D80&gt;0),1,0)</f>
        <v>1</v>
      </c>
      <c r="F80" s="0" t="n">
        <f aca="false">IF(E80=1,5000000/SUM($E$2:$E$85),0)</f>
        <v>60975.6097560976</v>
      </c>
    </row>
    <row r="81" customFormat="false" ht="15" hidden="false" customHeight="false" outlineLevel="0" collapsed="false">
      <c r="A81" s="0" t="s">
        <v>175</v>
      </c>
      <c r="B81" s="0" t="s">
        <v>176</v>
      </c>
      <c r="C81" s="0" t="n">
        <f aca="false">Counts_2024_2025!P81</f>
        <v>56</v>
      </c>
      <c r="D81" s="0" t="n">
        <f aca="false">Counts_2024_2025!AD81</f>
        <v>52</v>
      </c>
      <c r="E81" s="0" t="n">
        <f aca="false">IF(AND(C81&gt;0,D81&gt;0),1,0)</f>
        <v>1</v>
      </c>
      <c r="F81" s="0" t="n">
        <f aca="false">IF(E81=1,5000000/SUM($E$2:$E$85),0)</f>
        <v>60975.6097560976</v>
      </c>
    </row>
    <row r="82" customFormat="false" ht="15" hidden="false" customHeight="false" outlineLevel="0" collapsed="false">
      <c r="A82" s="0" t="s">
        <v>177</v>
      </c>
      <c r="B82" s="0" t="s">
        <v>178</v>
      </c>
      <c r="C82" s="0" t="n">
        <f aca="false">Counts_2024_2025!P82</f>
        <v>21</v>
      </c>
      <c r="D82" s="0" t="n">
        <f aca="false">Counts_2024_2025!AD82</f>
        <v>18</v>
      </c>
      <c r="E82" s="0" t="n">
        <f aca="false">IF(AND(C82&gt;0,D82&gt;0),1,0)</f>
        <v>1</v>
      </c>
      <c r="F82" s="0" t="n">
        <f aca="false">IF(E82=1,5000000/SUM($E$2:$E$85),0)</f>
        <v>60975.6097560976</v>
      </c>
    </row>
    <row r="83" customFormat="false" ht="15" hidden="false" customHeight="false" outlineLevel="0" collapsed="false">
      <c r="A83" s="0" t="s">
        <v>179</v>
      </c>
      <c r="B83" s="0" t="s">
        <v>180</v>
      </c>
      <c r="C83" s="0" t="n">
        <f aca="false">Counts_2024_2025!P83</f>
        <v>5</v>
      </c>
      <c r="D83" s="0" t="n">
        <f aca="false">Counts_2024_2025!AD83</f>
        <v>5</v>
      </c>
      <c r="E83" s="0" t="n">
        <f aca="false">IF(AND(C83&gt;0,D83&gt;0),1,0)</f>
        <v>1</v>
      </c>
      <c r="F83" s="0" t="n">
        <f aca="false">IF(E83=1,5000000/SUM($E$2:$E$85),0)</f>
        <v>60975.6097560976</v>
      </c>
    </row>
    <row r="84" customFormat="false" ht="15" hidden="false" customHeight="false" outlineLevel="0" collapsed="false">
      <c r="A84" s="0" t="s">
        <v>181</v>
      </c>
      <c r="B84" s="0" t="s">
        <v>182</v>
      </c>
      <c r="C84" s="0" t="n">
        <f aca="false">Counts_2024_2025!P84</f>
        <v>72</v>
      </c>
      <c r="D84" s="0" t="n">
        <f aca="false">Counts_2024_2025!AD84</f>
        <v>80</v>
      </c>
      <c r="E84" s="0" t="n">
        <f aca="false">IF(AND(C84&gt;0,D84&gt;0),1,0)</f>
        <v>1</v>
      </c>
      <c r="F84" s="0" t="n">
        <f aca="false">IF(E84=1,5000000/SUM($E$2:$E$85),0)</f>
        <v>60975.6097560976</v>
      </c>
    </row>
    <row r="85" customFormat="false" ht="15" hidden="false" customHeight="false" outlineLevel="0" collapsed="false">
      <c r="A85" s="0" t="s">
        <v>183</v>
      </c>
      <c r="B85" s="0" t="s">
        <v>184</v>
      </c>
      <c r="C85" s="0" t="n">
        <f aca="false">Counts_2024_2025!P85</f>
        <v>115</v>
      </c>
      <c r="D85" s="0" t="n">
        <f aca="false">Counts_2024_2025!AD85</f>
        <v>117</v>
      </c>
      <c r="E85" s="0" t="n">
        <f aca="false">IF(AND(C85&gt;0,D85&gt;0),1,0)</f>
        <v>1</v>
      </c>
      <c r="F85" s="0" t="n">
        <f aca="false">IF(E85=1,5000000/SUM($E$2:$E$85),0)</f>
        <v>60975.6097560976</v>
      </c>
    </row>
    <row r="87" customFormat="false" ht="15" hidden="false" customHeight="false" outlineLevel="0" collapsed="false">
      <c r="B87" s="0" t="s">
        <v>185</v>
      </c>
      <c r="E87" s="0" t="n">
        <f aca="false">SUM(E2:E85)</f>
        <v>82</v>
      </c>
      <c r="F87" s="0" t="n">
        <f aca="false">SUM(F2:F85)</f>
        <v>5000000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6" min="1" style="0" width="22"/>
  </cols>
  <sheetData>
    <row r="1" customFormat="false" ht="15" hidden="false" customHeight="false" outlineLevel="0" collapsed="false">
      <c r="A1" s="2" t="s">
        <v>186</v>
      </c>
      <c r="B1" s="2" t="s">
        <v>187</v>
      </c>
      <c r="C1" s="2" t="s">
        <v>188</v>
      </c>
      <c r="D1" s="2" t="s">
        <v>189</v>
      </c>
      <c r="E1" s="2" t="s">
        <v>190</v>
      </c>
      <c r="F1" s="2" t="s">
        <v>191</v>
      </c>
    </row>
    <row r="2" customFormat="false" ht="15" hidden="false" customHeight="false" outlineLevel="0" collapsed="false">
      <c r="A2" s="0" t="s">
        <v>192</v>
      </c>
      <c r="B2" s="0" t="n">
        <f aca="false">ROUND(SUMPRODUCT(Industries_2026!$F$2:$F$85,Counts_2024_2025!Q2:Q85/IF(Counts_2024_2025!$AD$2:$AD$85=0,1,Counts_2024_2025!$AD$2:$AD$85)),0)</f>
        <v>87189</v>
      </c>
      <c r="C2" s="0" t="n">
        <v>79734</v>
      </c>
      <c r="D2" s="3" t="n">
        <f aca="false">(B2-C2)/C2*100</f>
        <v>9.34983821205508</v>
      </c>
      <c r="E2" s="0" t="str">
        <f aca="false">IF(B2&lt;0.9*C2,"Yes","No")</f>
        <v>No</v>
      </c>
      <c r="F2" s="4" t="n">
        <f aca="false">IF(E2="Yes",ROUND((C2-B2)/2,0),0)</f>
        <v>0</v>
      </c>
    </row>
    <row r="3" customFormat="false" ht="15" hidden="false" customHeight="false" outlineLevel="0" collapsed="false">
      <c r="A3" s="0" t="s">
        <v>193</v>
      </c>
      <c r="B3" s="0" t="n">
        <f aca="false">ROUND(SUMPRODUCT(Industries_2026!$F$2:$F$85,Counts_2024_2025!R2:R85/IF(Counts_2024_2025!$AD$2:$AD$85=0,1,Counts_2024_2025!$AD$2:$AD$85)),0)</f>
        <v>33828</v>
      </c>
      <c r="C3" s="0" t="n">
        <v>35349</v>
      </c>
      <c r="D3" s="3" t="n">
        <f aca="false">(B3-C3)/C3*100</f>
        <v>-4.30280913180005</v>
      </c>
      <c r="E3" s="0" t="str">
        <f aca="false">IF(B3&lt;0.9*C3,"Yes","No")</f>
        <v>No</v>
      </c>
      <c r="F3" s="4" t="n">
        <f aca="false">IF(E3="Yes",ROUND((C3-B3)/2,0),0)</f>
        <v>0</v>
      </c>
    </row>
    <row r="4" customFormat="false" ht="15" hidden="false" customHeight="false" outlineLevel="0" collapsed="false">
      <c r="A4" s="0" t="s">
        <v>194</v>
      </c>
      <c r="B4" s="0" t="n">
        <f aca="false">ROUND(SUMPRODUCT(Industries_2026!$F$2:$F$85,Counts_2024_2025!S2:S85/IF(Counts_2024_2025!$AD$2:$AD$85=0,1,Counts_2024_2025!$AD$2:$AD$85)),0)</f>
        <v>2986255</v>
      </c>
      <c r="C4" s="0" t="n">
        <v>3033114</v>
      </c>
      <c r="D4" s="3" t="n">
        <f aca="false">(B4-C4)/C4*100</f>
        <v>-1.54491390696162</v>
      </c>
      <c r="E4" s="0" t="str">
        <f aca="false">IF(B4&lt;0.9*C4,"Yes","No")</f>
        <v>No</v>
      </c>
      <c r="F4" s="4" t="n">
        <f aca="false">IF(E4="Yes",ROUND((C4-B4)/2,0),0)</f>
        <v>0</v>
      </c>
    </row>
    <row r="5" customFormat="false" ht="15" hidden="false" customHeight="false" outlineLevel="0" collapsed="false">
      <c r="A5" s="0" t="s">
        <v>195</v>
      </c>
      <c r="B5" s="0" t="n">
        <f aca="false">ROUND(SUMPRODUCT(Industries_2026!$F$2:$F$85,Counts_2024_2025!T2:T85/IF(Counts_2024_2025!$AD$2:$AD$85=0,1,Counts_2024_2025!$AD$2:$AD$85)),0)</f>
        <v>653087</v>
      </c>
      <c r="C5" s="0" t="n">
        <v>643896</v>
      </c>
      <c r="D5" s="3" t="n">
        <f aca="false">(B5-C5)/C5*100</f>
        <v>1.42740442555941</v>
      </c>
      <c r="E5" s="0" t="str">
        <f aca="false">IF(B5&lt;0.9*C5,"Yes","No")</f>
        <v>No</v>
      </c>
      <c r="F5" s="4" t="n">
        <f aca="false">IF(E5="Yes",ROUND((C5-B5)/2,0),0)</f>
        <v>0</v>
      </c>
    </row>
    <row r="6" customFormat="false" ht="15" hidden="false" customHeight="false" outlineLevel="0" collapsed="false">
      <c r="A6" s="0" t="s">
        <v>196</v>
      </c>
      <c r="B6" s="0" t="n">
        <f aca="false">ROUND(SUMPRODUCT(Industries_2026!$F$2:$F$85,Counts_2024_2025!U2:U85/IF(Counts_2024_2025!$AD$2:$AD$85=0,1,Counts_2024_2025!$AD$2:$AD$85)),0)</f>
        <v>8011</v>
      </c>
      <c r="C6" s="0" t="n">
        <v>8074</v>
      </c>
      <c r="D6" s="3" t="n">
        <f aca="false">(B6-C6)/C6*100</f>
        <v>-0.780282387911816</v>
      </c>
      <c r="E6" s="0" t="str">
        <f aca="false">IF(B6&lt;0.9*C6,"Yes","No")</f>
        <v>No</v>
      </c>
      <c r="F6" s="4" t="n">
        <f aca="false">IF(E6="Yes",ROUND((C6-B6)/2,0),0)</f>
        <v>0</v>
      </c>
    </row>
    <row r="7" customFormat="false" ht="15" hidden="false" customHeight="false" outlineLevel="0" collapsed="false">
      <c r="A7" s="0" t="s">
        <v>197</v>
      </c>
      <c r="B7" s="0" t="n">
        <f aca="false">ROUND(SUMPRODUCT(Industries_2026!$F$2:$F$85,Counts_2024_2025!V2:V85/IF(Counts_2024_2025!$AD$2:$AD$85=0,1,Counts_2024_2025!$AD$2:$AD$85)),0)</f>
        <v>132778</v>
      </c>
      <c r="C7" s="0" t="n">
        <v>146097</v>
      </c>
      <c r="D7" s="3" t="n">
        <f aca="false">(B7-C7)/C7*100</f>
        <v>-9.11654585651998</v>
      </c>
      <c r="E7" s="0" t="str">
        <f aca="false">IF(B7&lt;0.9*C7,"Yes","No")</f>
        <v>No</v>
      </c>
      <c r="F7" s="4" t="n">
        <f aca="false">IF(E7="Yes",ROUND((C7-B7)/2,0),0)</f>
        <v>0</v>
      </c>
    </row>
    <row r="8" customFormat="false" ht="15" hidden="false" customHeight="false" outlineLevel="0" collapsed="false">
      <c r="A8" s="0" t="s">
        <v>198</v>
      </c>
      <c r="B8" s="0" t="n">
        <f aca="false">ROUND(SUMPRODUCT(Industries_2026!$F$2:$F$85,Counts_2024_2025!W2:W85/IF(Counts_2024_2025!$AD$2:$AD$85=0,1,Counts_2024_2025!$AD$2:$AD$85)),0)</f>
        <v>469198</v>
      </c>
      <c r="C8" s="0" t="n">
        <v>458536</v>
      </c>
      <c r="D8" s="3" t="n">
        <f aca="false">(B8-C8)/C8*100</f>
        <v>2.32522637262941</v>
      </c>
      <c r="E8" s="0" t="str">
        <f aca="false">IF(B8&lt;0.9*C8,"Yes","No")</f>
        <v>No</v>
      </c>
      <c r="F8" s="4" t="n">
        <f aca="false">IF(E8="Yes",ROUND((C8-B8)/2,0),0)</f>
        <v>0</v>
      </c>
    </row>
    <row r="9" customFormat="false" ht="15" hidden="false" customHeight="false" outlineLevel="0" collapsed="false">
      <c r="A9" s="0" t="s">
        <v>199</v>
      </c>
      <c r="B9" s="0" t="n">
        <f aca="false">ROUND(SUMPRODUCT(Industries_2026!$F$2:$F$85,Counts_2024_2025!X2:X85/IF(Counts_2024_2025!$AD$2:$AD$85=0,1,Counts_2024_2025!$AD$2:$AD$85)),0)</f>
        <v>40205</v>
      </c>
      <c r="C9" s="0" t="n">
        <v>35919</v>
      </c>
      <c r="D9" s="3" t="n">
        <f aca="false">(B9-C9)/C9*100</f>
        <v>11.9324034633481</v>
      </c>
      <c r="E9" s="0" t="str">
        <f aca="false">IF(B9&lt;0.9*C9,"Yes","No")</f>
        <v>No</v>
      </c>
      <c r="F9" s="4" t="n">
        <f aca="false">IF(E9="Yes",ROUND((C9-B9)/2,0),0)</f>
        <v>0</v>
      </c>
    </row>
    <row r="10" customFormat="false" ht="15" hidden="false" customHeight="false" outlineLevel="0" collapsed="false">
      <c r="A10" s="0" t="s">
        <v>200</v>
      </c>
      <c r="B10" s="0" t="n">
        <f aca="false">ROUND(SUMPRODUCT(Industries_2026!$F$2:$F$85,Counts_2024_2025!Y2:Y85/IF(Counts_2024_2025!$AD$2:$AD$85=0,1,Counts_2024_2025!$AD$2:$AD$85)),0)</f>
        <v>258211</v>
      </c>
      <c r="C10" s="0" t="n">
        <v>215416</v>
      </c>
      <c r="D10" s="3" t="n">
        <f aca="false">(B10-C10)/C10*100</f>
        <v>19.8662123519144</v>
      </c>
      <c r="E10" s="0" t="str">
        <f aca="false">IF(B10&lt;0.9*C10,"Yes","No")</f>
        <v>No</v>
      </c>
      <c r="F10" s="4" t="n">
        <f aca="false">IF(E10="Yes",ROUND((C10-B10)/2,0),0)</f>
        <v>0</v>
      </c>
    </row>
    <row r="11" customFormat="false" ht="15" hidden="false" customHeight="false" outlineLevel="0" collapsed="false">
      <c r="A11" s="0" t="s">
        <v>201</v>
      </c>
      <c r="B11" s="0" t="n">
        <f aca="false">ROUND(SUMPRODUCT(Industries_2026!$F$2:$F$85,Counts_2024_2025!Z2:Z85/IF(Counts_2024_2025!$AD$2:$AD$85=0,1,Counts_2024_2025!$AD$2:$AD$85)),0)</f>
        <v>142998</v>
      </c>
      <c r="C11" s="0" t="n">
        <v>144532</v>
      </c>
      <c r="D11" s="3" t="n">
        <f aca="false">(B11-C11)/C11*100</f>
        <v>-1.06135665458168</v>
      </c>
      <c r="E11" s="0" t="str">
        <f aca="false">IF(B11&lt;0.9*C11,"Yes","No")</f>
        <v>No</v>
      </c>
      <c r="F11" s="4" t="n">
        <f aca="false">IF(E11="Yes",ROUND((C11-B11)/2,0),0)</f>
        <v>0</v>
      </c>
    </row>
    <row r="12" customFormat="false" ht="15" hidden="false" customHeight="false" outlineLevel="0" collapsed="false">
      <c r="A12" s="0" t="s">
        <v>202</v>
      </c>
      <c r="B12" s="0" t="n">
        <f aca="false">ROUND(SUMPRODUCT(Industries_2026!$F$2:$F$85,Counts_2024_2025!AA2:AA85/IF(Counts_2024_2025!$AD$2:$AD$85=0,1,Counts_2024_2025!$AD$2:$AD$85)),0)</f>
        <v>4876</v>
      </c>
      <c r="C12" s="0" t="n">
        <v>4818</v>
      </c>
      <c r="D12" s="3" t="n">
        <f aca="false">(B12-C12)/C12*100</f>
        <v>1.20381901203819</v>
      </c>
      <c r="E12" s="0" t="str">
        <f aca="false">IF(B12&lt;0.9*C12,"Yes","No")</f>
        <v>No</v>
      </c>
      <c r="F12" s="4" t="n">
        <f aca="false">IF(E12="Yes",ROUND((C12-B12)/2,0),0)</f>
        <v>0</v>
      </c>
    </row>
    <row r="13" customFormat="false" ht="15" hidden="false" customHeight="false" outlineLevel="0" collapsed="false">
      <c r="A13" s="0" t="s">
        <v>203</v>
      </c>
      <c r="B13" s="0" t="n">
        <f aca="false">ROUND(SUMPRODUCT(Industries_2026!$F$2:$F$85,Counts_2024_2025!AB2:AB85/IF(Counts_2024_2025!$AD$2:$AD$85=0,1,Counts_2024_2025!$AD$2:$AD$85)),0)</f>
        <v>79953</v>
      </c>
      <c r="C13" s="0" t="n">
        <v>77368</v>
      </c>
      <c r="D13" s="3" t="n">
        <f aca="false">(B13-C13)/C13*100</f>
        <v>3.34117464584841</v>
      </c>
      <c r="E13" s="0" t="str">
        <f aca="false">IF(B13&lt;0.9*C13,"Yes","No")</f>
        <v>No</v>
      </c>
      <c r="F13" s="4" t="n">
        <f aca="false">IF(E13="Yes",ROUND((C13-B13)/2,0),0)</f>
        <v>0</v>
      </c>
    </row>
    <row r="14" customFormat="false" ht="15" hidden="false" customHeight="false" outlineLevel="0" collapsed="false">
      <c r="A14" s="0" t="s">
        <v>2</v>
      </c>
      <c r="B14" s="0" t="n">
        <f aca="false">ROUND(SUMPRODUCT(Industries_2026!$F$2:$F$85,Counts_2024_2025!AC2:AC85/IF(Counts_2024_2025!$AD$2:$AD$85=0,1,Counts_2024_2025!$AD$2:$AD$85)),0)</f>
        <v>103409</v>
      </c>
      <c r="C14" s="0" t="n">
        <v>117147</v>
      </c>
      <c r="D14" s="3" t="n">
        <f aca="false">(B14-C14)/C14*100</f>
        <v>-11.7271462350722</v>
      </c>
      <c r="E14" s="0" t="str">
        <f aca="false">IF(B14&lt;0.9*C14,"Yes","No")</f>
        <v>Yes</v>
      </c>
      <c r="F14" s="4" t="n">
        <f aca="false">IF(E14="Yes",ROUND((C14-B14)/2,0),0)</f>
        <v>6869</v>
      </c>
    </row>
    <row r="15" customFormat="false" ht="15" hidden="false" customHeight="false" outlineLevel="0" collapsed="false">
      <c r="A15" s="0" t="s">
        <v>204</v>
      </c>
      <c r="B15" s="0" t="n">
        <f aca="false">SUM(B2:B14)</f>
        <v>4999998</v>
      </c>
      <c r="C15" s="0" t="n">
        <f aca="false">SUM(C2:C14)</f>
        <v>5000000</v>
      </c>
      <c r="D15" s="3"/>
      <c r="E15" s="4" t="n">
        <f aca="false">COUNTIF(E2:E14,"Yes")</f>
        <v>1</v>
      </c>
      <c r="F15" s="4" t="n">
        <f aca="false">SUM(F2:F14)</f>
        <v>6869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7" min="1" style="0" width="22"/>
  </cols>
  <sheetData>
    <row r="1" customFormat="false" ht="15" hidden="false" customHeight="false" outlineLevel="0" collapsed="false">
      <c r="A1" s="2" t="s">
        <v>205</v>
      </c>
      <c r="B1" s="2" t="s">
        <v>186</v>
      </c>
      <c r="C1" s="2" t="s">
        <v>206</v>
      </c>
      <c r="D1" s="2" t="s">
        <v>207</v>
      </c>
      <c r="E1" s="2" t="s">
        <v>208</v>
      </c>
      <c r="F1" s="2" t="s">
        <v>185</v>
      </c>
      <c r="G1" s="2" t="s">
        <v>7</v>
      </c>
    </row>
    <row r="2" customFormat="false" ht="15" hidden="false" customHeight="false" outlineLevel="0" collapsed="false">
      <c r="A2" s="0" t="n">
        <v>2020</v>
      </c>
      <c r="B2" s="0" t="s">
        <v>192</v>
      </c>
      <c r="C2" s="0" t="n">
        <v>51045</v>
      </c>
      <c r="D2" s="0" t="n">
        <v>51045</v>
      </c>
      <c r="E2" s="0" t="n">
        <f aca="false">D2-C2</f>
        <v>0</v>
      </c>
      <c r="F2" s="0" t="n">
        <v>81</v>
      </c>
      <c r="G2" s="0" t="n">
        <v>61728.4</v>
      </c>
    </row>
    <row r="3" customFormat="false" ht="15" hidden="false" customHeight="false" outlineLevel="0" collapsed="false">
      <c r="A3" s="0" t="n">
        <v>2020</v>
      </c>
      <c r="B3" s="0" t="s">
        <v>193</v>
      </c>
      <c r="C3" s="0" t="n">
        <v>39404</v>
      </c>
      <c r="D3" s="0" t="n">
        <v>39404</v>
      </c>
      <c r="E3" s="0" t="n">
        <f aca="false">D3-C3</f>
        <v>0</v>
      </c>
      <c r="F3" s="0" t="n">
        <v>81</v>
      </c>
      <c r="G3" s="0" t="n">
        <v>61728.4</v>
      </c>
    </row>
    <row r="4" customFormat="false" ht="15" hidden="false" customHeight="false" outlineLevel="0" collapsed="false">
      <c r="A4" s="0" t="n">
        <v>2020</v>
      </c>
      <c r="B4" s="0" t="s">
        <v>194</v>
      </c>
      <c r="C4" s="0" t="n">
        <v>3195657</v>
      </c>
      <c r="D4" s="0" t="n">
        <v>3195657</v>
      </c>
      <c r="E4" s="0" t="n">
        <f aca="false">D4-C4</f>
        <v>0</v>
      </c>
      <c r="F4" s="0" t="n">
        <v>81</v>
      </c>
      <c r="G4" s="0" t="n">
        <v>61728.4</v>
      </c>
    </row>
    <row r="5" customFormat="false" ht="15" hidden="false" customHeight="false" outlineLevel="0" collapsed="false">
      <c r="A5" s="0" t="n">
        <v>2020</v>
      </c>
      <c r="B5" s="0" t="s">
        <v>195</v>
      </c>
      <c r="C5" s="0" t="n">
        <v>551591</v>
      </c>
      <c r="D5" s="0" t="n">
        <v>551591</v>
      </c>
      <c r="E5" s="0" t="n">
        <f aca="false">D5-C5</f>
        <v>0</v>
      </c>
      <c r="F5" s="0" t="n">
        <v>81</v>
      </c>
      <c r="G5" s="0" t="n">
        <v>61728.4</v>
      </c>
    </row>
    <row r="6" customFormat="false" ht="15" hidden="false" customHeight="false" outlineLevel="0" collapsed="false">
      <c r="A6" s="0" t="n">
        <v>2020</v>
      </c>
      <c r="B6" s="0" t="s">
        <v>196</v>
      </c>
      <c r="C6" s="0" t="n">
        <v>25218</v>
      </c>
      <c r="D6" s="0" t="n">
        <v>25218</v>
      </c>
      <c r="E6" s="0" t="n">
        <f aca="false">D6-C6</f>
        <v>0</v>
      </c>
      <c r="F6" s="0" t="n">
        <v>81</v>
      </c>
      <c r="G6" s="0" t="n">
        <v>61728.4</v>
      </c>
    </row>
    <row r="7" customFormat="false" ht="15" hidden="false" customHeight="false" outlineLevel="0" collapsed="false">
      <c r="A7" s="0" t="n">
        <v>2020</v>
      </c>
      <c r="B7" s="0" t="s">
        <v>197</v>
      </c>
      <c r="C7" s="0" t="n">
        <v>141977</v>
      </c>
      <c r="D7" s="0" t="n">
        <v>141977</v>
      </c>
      <c r="E7" s="0" t="n">
        <f aca="false">D7-C7</f>
        <v>0</v>
      </c>
      <c r="F7" s="0" t="n">
        <v>81</v>
      </c>
      <c r="G7" s="0" t="n">
        <v>61728.4</v>
      </c>
    </row>
    <row r="8" customFormat="false" ht="15" hidden="false" customHeight="false" outlineLevel="0" collapsed="false">
      <c r="A8" s="0" t="n">
        <v>2020</v>
      </c>
      <c r="B8" s="0" t="s">
        <v>198</v>
      </c>
      <c r="C8" s="0" t="n">
        <v>462898</v>
      </c>
      <c r="D8" s="0" t="n">
        <v>462898</v>
      </c>
      <c r="E8" s="0" t="n">
        <f aca="false">D8-C8</f>
        <v>0</v>
      </c>
      <c r="F8" s="0" t="n">
        <v>81</v>
      </c>
      <c r="G8" s="0" t="n">
        <v>61728.4</v>
      </c>
    </row>
    <row r="9" customFormat="false" ht="15" hidden="false" customHeight="false" outlineLevel="0" collapsed="false">
      <c r="A9" s="0" t="n">
        <v>2020</v>
      </c>
      <c r="B9" s="0" t="s">
        <v>199</v>
      </c>
      <c r="C9" s="0" t="n">
        <v>35867</v>
      </c>
      <c r="D9" s="0" t="n">
        <v>35867</v>
      </c>
      <c r="E9" s="0" t="n">
        <f aca="false">D9-C9</f>
        <v>0</v>
      </c>
      <c r="F9" s="0" t="n">
        <v>81</v>
      </c>
      <c r="G9" s="0" t="n">
        <v>61728.4</v>
      </c>
    </row>
    <row r="10" customFormat="false" ht="15" hidden="false" customHeight="false" outlineLevel="0" collapsed="false">
      <c r="A10" s="0" t="n">
        <v>2020</v>
      </c>
      <c r="B10" s="0" t="s">
        <v>200</v>
      </c>
      <c r="C10" s="0" t="n">
        <v>145908</v>
      </c>
      <c r="D10" s="0" t="n">
        <v>145908</v>
      </c>
      <c r="E10" s="0" t="n">
        <f aca="false">D10-C10</f>
        <v>0</v>
      </c>
      <c r="F10" s="0" t="n">
        <v>81</v>
      </c>
      <c r="G10" s="0" t="n">
        <v>61728.4</v>
      </c>
    </row>
    <row r="11" customFormat="false" ht="15" hidden="false" customHeight="false" outlineLevel="0" collapsed="false">
      <c r="A11" s="0" t="n">
        <v>2020</v>
      </c>
      <c r="B11" s="0" t="s">
        <v>201</v>
      </c>
      <c r="C11" s="0" t="n">
        <v>144892</v>
      </c>
      <c r="D11" s="0" t="n">
        <v>144892</v>
      </c>
      <c r="E11" s="0" t="n">
        <f aca="false">D11-C11</f>
        <v>0</v>
      </c>
      <c r="F11" s="0" t="n">
        <v>81</v>
      </c>
      <c r="G11" s="0" t="n">
        <v>61728.4</v>
      </c>
    </row>
    <row r="12" customFormat="false" ht="15" hidden="false" customHeight="false" outlineLevel="0" collapsed="false">
      <c r="A12" s="0" t="n">
        <v>2020</v>
      </c>
      <c r="B12" s="0" t="s">
        <v>202</v>
      </c>
      <c r="C12" s="0" t="n">
        <v>5892</v>
      </c>
      <c r="D12" s="0" t="n">
        <v>5892</v>
      </c>
      <c r="E12" s="0" t="n">
        <f aca="false">D12-C12</f>
        <v>0</v>
      </c>
      <c r="F12" s="0" t="n">
        <v>81</v>
      </c>
      <c r="G12" s="0" t="n">
        <v>61728.4</v>
      </c>
    </row>
    <row r="13" customFormat="false" ht="15" hidden="false" customHeight="false" outlineLevel="0" collapsed="false">
      <c r="A13" s="0" t="n">
        <v>2020</v>
      </c>
      <c r="B13" s="0" t="s">
        <v>203</v>
      </c>
      <c r="C13" s="0" t="n">
        <v>62501</v>
      </c>
      <c r="D13" s="0" t="n">
        <v>62501</v>
      </c>
      <c r="E13" s="0" t="n">
        <f aca="false">D13-C13</f>
        <v>0</v>
      </c>
      <c r="F13" s="0" t="n">
        <v>81</v>
      </c>
      <c r="G13" s="0" t="n">
        <v>61728.4</v>
      </c>
    </row>
    <row r="14" customFormat="false" ht="15" hidden="false" customHeight="false" outlineLevel="0" collapsed="false">
      <c r="A14" s="0" t="n">
        <v>2020</v>
      </c>
      <c r="B14" s="0" t="s">
        <v>2</v>
      </c>
      <c r="C14" s="0" t="n">
        <v>137150</v>
      </c>
      <c r="D14" s="0" t="n">
        <v>137150</v>
      </c>
      <c r="E14" s="0" t="n">
        <f aca="false">D14-C14</f>
        <v>0</v>
      </c>
      <c r="F14" s="0" t="n">
        <v>81</v>
      </c>
      <c r="G14" s="0" t="n">
        <v>61728.4</v>
      </c>
    </row>
    <row r="15" customFormat="false" ht="15" hidden="false" customHeight="false" outlineLevel="0" collapsed="false">
      <c r="A15" s="0" t="n">
        <v>2021</v>
      </c>
      <c r="B15" s="0" t="s">
        <v>192</v>
      </c>
      <c r="C15" s="0" t="n">
        <v>52863</v>
      </c>
      <c r="D15" s="0" t="n">
        <v>52863</v>
      </c>
      <c r="E15" s="0" t="n">
        <f aca="false">D15-C15</f>
        <v>0</v>
      </c>
      <c r="F15" s="0" t="n">
        <v>82</v>
      </c>
      <c r="G15" s="0" t="n">
        <v>60975.61</v>
      </c>
    </row>
    <row r="16" customFormat="false" ht="15" hidden="false" customHeight="false" outlineLevel="0" collapsed="false">
      <c r="A16" s="0" t="n">
        <v>2021</v>
      </c>
      <c r="B16" s="0" t="s">
        <v>193</v>
      </c>
      <c r="C16" s="0" t="n">
        <v>37960</v>
      </c>
      <c r="D16" s="0" t="n">
        <v>37960</v>
      </c>
      <c r="E16" s="0" t="n">
        <f aca="false">D16-C16</f>
        <v>0</v>
      </c>
      <c r="F16" s="0" t="n">
        <v>82</v>
      </c>
      <c r="G16" s="0" t="n">
        <v>60975.61</v>
      </c>
    </row>
    <row r="17" customFormat="false" ht="15" hidden="false" customHeight="false" outlineLevel="0" collapsed="false">
      <c r="A17" s="0" t="n">
        <v>2021</v>
      </c>
      <c r="B17" s="0" t="s">
        <v>194</v>
      </c>
      <c r="C17" s="0" t="n">
        <v>3247828</v>
      </c>
      <c r="D17" s="0" t="n">
        <v>3247828</v>
      </c>
      <c r="E17" s="0" t="n">
        <f aca="false">D17-C17</f>
        <v>0</v>
      </c>
      <c r="F17" s="0" t="n">
        <v>82</v>
      </c>
      <c r="G17" s="0" t="n">
        <v>60975.61</v>
      </c>
    </row>
    <row r="18" customFormat="false" ht="15" hidden="false" customHeight="false" outlineLevel="0" collapsed="false">
      <c r="A18" s="0" t="n">
        <v>2021</v>
      </c>
      <c r="B18" s="0" t="s">
        <v>195</v>
      </c>
      <c r="C18" s="0" t="n">
        <v>555986</v>
      </c>
      <c r="D18" s="0" t="n">
        <v>555986</v>
      </c>
      <c r="E18" s="0" t="n">
        <f aca="false">D18-C18</f>
        <v>0</v>
      </c>
      <c r="F18" s="0" t="n">
        <v>82</v>
      </c>
      <c r="G18" s="0" t="n">
        <v>60975.61</v>
      </c>
    </row>
    <row r="19" customFormat="false" ht="15" hidden="false" customHeight="false" outlineLevel="0" collapsed="false">
      <c r="A19" s="0" t="n">
        <v>2021</v>
      </c>
      <c r="B19" s="0" t="s">
        <v>196</v>
      </c>
      <c r="C19" s="0" t="n">
        <v>8777</v>
      </c>
      <c r="D19" s="0" t="n">
        <v>8777</v>
      </c>
      <c r="E19" s="0" t="n">
        <f aca="false">D19-C19</f>
        <v>0</v>
      </c>
      <c r="F19" s="0" t="n">
        <v>82</v>
      </c>
      <c r="G19" s="0" t="n">
        <v>60975.61</v>
      </c>
    </row>
    <row r="20" customFormat="false" ht="15" hidden="false" customHeight="false" outlineLevel="0" collapsed="false">
      <c r="A20" s="0" t="n">
        <v>2021</v>
      </c>
      <c r="B20" s="0" t="s">
        <v>197</v>
      </c>
      <c r="C20" s="0" t="n">
        <v>148260</v>
      </c>
      <c r="D20" s="0" t="n">
        <v>148260</v>
      </c>
      <c r="E20" s="0" t="n">
        <f aca="false">D20-C20</f>
        <v>0</v>
      </c>
      <c r="F20" s="0" t="n">
        <v>82</v>
      </c>
      <c r="G20" s="0" t="n">
        <v>60975.61</v>
      </c>
    </row>
    <row r="21" customFormat="false" ht="15" hidden="false" customHeight="false" outlineLevel="0" collapsed="false">
      <c r="A21" s="0" t="n">
        <v>2021</v>
      </c>
      <c r="B21" s="0" t="s">
        <v>198</v>
      </c>
      <c r="C21" s="0" t="n">
        <v>419459</v>
      </c>
      <c r="D21" s="0" t="n">
        <v>419459</v>
      </c>
      <c r="E21" s="0" t="n">
        <f aca="false">D21-C21</f>
        <v>0</v>
      </c>
      <c r="F21" s="0" t="n">
        <v>82</v>
      </c>
      <c r="G21" s="0" t="n">
        <v>60975.61</v>
      </c>
    </row>
    <row r="22" customFormat="false" ht="15" hidden="false" customHeight="false" outlineLevel="0" collapsed="false">
      <c r="A22" s="0" t="n">
        <v>2021</v>
      </c>
      <c r="B22" s="0" t="s">
        <v>199</v>
      </c>
      <c r="C22" s="0" t="n">
        <v>33543</v>
      </c>
      <c r="D22" s="0" t="n">
        <v>33543</v>
      </c>
      <c r="E22" s="0" t="n">
        <f aca="false">D22-C22</f>
        <v>0</v>
      </c>
      <c r="F22" s="0" t="n">
        <v>82</v>
      </c>
      <c r="G22" s="0" t="n">
        <v>60975.61</v>
      </c>
    </row>
    <row r="23" customFormat="false" ht="15" hidden="false" customHeight="false" outlineLevel="0" collapsed="false">
      <c r="A23" s="0" t="n">
        <v>2021</v>
      </c>
      <c r="B23" s="0" t="s">
        <v>200</v>
      </c>
      <c r="C23" s="0" t="n">
        <v>147135</v>
      </c>
      <c r="D23" s="0" t="n">
        <v>147135</v>
      </c>
      <c r="E23" s="0" t="n">
        <f aca="false">D23-C23</f>
        <v>0</v>
      </c>
      <c r="F23" s="0" t="n">
        <v>82</v>
      </c>
      <c r="G23" s="0" t="n">
        <v>60975.61</v>
      </c>
    </row>
    <row r="24" customFormat="false" ht="15" hidden="false" customHeight="false" outlineLevel="0" collapsed="false">
      <c r="A24" s="0" t="n">
        <v>2021</v>
      </c>
      <c r="B24" s="0" t="s">
        <v>201</v>
      </c>
      <c r="C24" s="0" t="n">
        <v>161761</v>
      </c>
      <c r="D24" s="0" t="n">
        <v>161761</v>
      </c>
      <c r="E24" s="0" t="n">
        <f aca="false">D24-C24</f>
        <v>0</v>
      </c>
      <c r="F24" s="0" t="n">
        <v>82</v>
      </c>
      <c r="G24" s="0" t="n">
        <v>60975.61</v>
      </c>
    </row>
    <row r="25" customFormat="false" ht="15" hidden="false" customHeight="false" outlineLevel="0" collapsed="false">
      <c r="A25" s="0" t="n">
        <v>2021</v>
      </c>
      <c r="B25" s="0" t="s">
        <v>202</v>
      </c>
      <c r="C25" s="0" t="n">
        <v>2772</v>
      </c>
      <c r="D25" s="0" t="n">
        <v>2772</v>
      </c>
      <c r="E25" s="0" t="n">
        <f aca="false">D25-C25</f>
        <v>0</v>
      </c>
      <c r="F25" s="0" t="n">
        <v>82</v>
      </c>
      <c r="G25" s="0" t="n">
        <v>60975.61</v>
      </c>
    </row>
    <row r="26" customFormat="false" ht="15" hidden="false" customHeight="false" outlineLevel="0" collapsed="false">
      <c r="A26" s="0" t="n">
        <v>2021</v>
      </c>
      <c r="B26" s="0" t="s">
        <v>203</v>
      </c>
      <c r="C26" s="0" t="n">
        <v>60040</v>
      </c>
      <c r="D26" s="0" t="n">
        <v>60040</v>
      </c>
      <c r="E26" s="0" t="n">
        <f aca="false">D26-C26</f>
        <v>0</v>
      </c>
      <c r="F26" s="0" t="n">
        <v>82</v>
      </c>
      <c r="G26" s="0" t="n">
        <v>60975.61</v>
      </c>
    </row>
    <row r="27" customFormat="false" ht="15" hidden="false" customHeight="false" outlineLevel="0" collapsed="false">
      <c r="A27" s="0" t="n">
        <v>2021</v>
      </c>
      <c r="B27" s="0" t="s">
        <v>2</v>
      </c>
      <c r="C27" s="0" t="n">
        <v>123616</v>
      </c>
      <c r="D27" s="0" t="n">
        <v>123616</v>
      </c>
      <c r="E27" s="0" t="n">
        <f aca="false">D27-C27</f>
        <v>0</v>
      </c>
      <c r="F27" s="0" t="n">
        <v>82</v>
      </c>
      <c r="G27" s="0" t="n">
        <v>60975.61</v>
      </c>
    </row>
    <row r="28" customFormat="false" ht="15" hidden="false" customHeight="false" outlineLevel="0" collapsed="false">
      <c r="A28" s="0" t="n">
        <v>2022</v>
      </c>
      <c r="B28" s="0" t="s">
        <v>192</v>
      </c>
      <c r="C28" s="0" t="n">
        <v>64496</v>
      </c>
      <c r="D28" s="0" t="n">
        <v>64496</v>
      </c>
      <c r="E28" s="0" t="n">
        <f aca="false">D28-C28</f>
        <v>0</v>
      </c>
      <c r="F28" s="0" t="n">
        <v>84</v>
      </c>
      <c r="G28" s="0" t="n">
        <v>59523.81</v>
      </c>
    </row>
    <row r="29" customFormat="false" ht="15" hidden="false" customHeight="false" outlineLevel="0" collapsed="false">
      <c r="A29" s="0" t="n">
        <v>2022</v>
      </c>
      <c r="B29" s="0" t="s">
        <v>193</v>
      </c>
      <c r="C29" s="0" t="n">
        <v>39601</v>
      </c>
      <c r="D29" s="0" t="n">
        <v>39601</v>
      </c>
      <c r="E29" s="0" t="n">
        <f aca="false">D29-C29</f>
        <v>0</v>
      </c>
      <c r="F29" s="0" t="n">
        <v>84</v>
      </c>
      <c r="G29" s="0" t="n">
        <v>59523.81</v>
      </c>
    </row>
    <row r="30" customFormat="false" ht="15" hidden="false" customHeight="false" outlineLevel="0" collapsed="false">
      <c r="A30" s="0" t="n">
        <v>2022</v>
      </c>
      <c r="B30" s="0" t="s">
        <v>194</v>
      </c>
      <c r="C30" s="0" t="n">
        <v>3154816</v>
      </c>
      <c r="D30" s="0" t="n">
        <v>3154816</v>
      </c>
      <c r="E30" s="0" t="n">
        <f aca="false">D30-C30</f>
        <v>0</v>
      </c>
      <c r="F30" s="0" t="n">
        <v>84</v>
      </c>
      <c r="G30" s="0" t="n">
        <v>59523.81</v>
      </c>
    </row>
    <row r="31" customFormat="false" ht="15" hidden="false" customHeight="false" outlineLevel="0" collapsed="false">
      <c r="A31" s="0" t="n">
        <v>2022</v>
      </c>
      <c r="B31" s="0" t="s">
        <v>195</v>
      </c>
      <c r="C31" s="0" t="n">
        <v>603826</v>
      </c>
      <c r="D31" s="0" t="n">
        <v>603826</v>
      </c>
      <c r="E31" s="0" t="n">
        <f aca="false">D31-C31</f>
        <v>0</v>
      </c>
      <c r="F31" s="0" t="n">
        <v>84</v>
      </c>
      <c r="G31" s="0" t="n">
        <v>59523.81</v>
      </c>
    </row>
    <row r="32" customFormat="false" ht="15" hidden="false" customHeight="false" outlineLevel="0" collapsed="false">
      <c r="A32" s="0" t="n">
        <v>2022</v>
      </c>
      <c r="B32" s="0" t="s">
        <v>196</v>
      </c>
      <c r="C32" s="0" t="n">
        <v>8182</v>
      </c>
      <c r="D32" s="0" t="n">
        <v>8182</v>
      </c>
      <c r="E32" s="0" t="n">
        <f aca="false">D32-C32</f>
        <v>0</v>
      </c>
      <c r="F32" s="0" t="n">
        <v>84</v>
      </c>
      <c r="G32" s="0" t="n">
        <v>59523.81</v>
      </c>
    </row>
    <row r="33" customFormat="false" ht="15" hidden="false" customHeight="false" outlineLevel="0" collapsed="false">
      <c r="A33" s="0" t="n">
        <v>2022</v>
      </c>
      <c r="B33" s="0" t="s">
        <v>197</v>
      </c>
      <c r="C33" s="0" t="n">
        <v>144386</v>
      </c>
      <c r="D33" s="0" t="n">
        <v>144386</v>
      </c>
      <c r="E33" s="0" t="n">
        <f aca="false">D33-C33</f>
        <v>0</v>
      </c>
      <c r="F33" s="0" t="n">
        <v>84</v>
      </c>
      <c r="G33" s="0" t="n">
        <v>59523.81</v>
      </c>
    </row>
    <row r="34" customFormat="false" ht="15" hidden="false" customHeight="false" outlineLevel="0" collapsed="false">
      <c r="A34" s="0" t="n">
        <v>2022</v>
      </c>
      <c r="B34" s="0" t="s">
        <v>198</v>
      </c>
      <c r="C34" s="0" t="n">
        <v>385812</v>
      </c>
      <c r="D34" s="0" t="n">
        <v>385812</v>
      </c>
      <c r="E34" s="0" t="n">
        <f aca="false">D34-C34</f>
        <v>0</v>
      </c>
      <c r="F34" s="0" t="n">
        <v>84</v>
      </c>
      <c r="G34" s="0" t="n">
        <v>59523.81</v>
      </c>
    </row>
    <row r="35" customFormat="false" ht="15" hidden="false" customHeight="false" outlineLevel="0" collapsed="false">
      <c r="A35" s="0" t="n">
        <v>2022</v>
      </c>
      <c r="B35" s="0" t="s">
        <v>199</v>
      </c>
      <c r="C35" s="0" t="n">
        <v>31825</v>
      </c>
      <c r="D35" s="0" t="n">
        <v>31825</v>
      </c>
      <c r="E35" s="0" t="n">
        <f aca="false">D35-C35</f>
        <v>0</v>
      </c>
      <c r="F35" s="0" t="n">
        <v>84</v>
      </c>
      <c r="G35" s="0" t="n">
        <v>59523.81</v>
      </c>
    </row>
    <row r="36" customFormat="false" ht="15" hidden="false" customHeight="false" outlineLevel="0" collapsed="false">
      <c r="A36" s="0" t="n">
        <v>2022</v>
      </c>
      <c r="B36" s="0" t="s">
        <v>200</v>
      </c>
      <c r="C36" s="0" t="n">
        <v>191046</v>
      </c>
      <c r="D36" s="0" t="n">
        <v>191046</v>
      </c>
      <c r="E36" s="0" t="n">
        <f aca="false">D36-C36</f>
        <v>0</v>
      </c>
      <c r="F36" s="0" t="n">
        <v>84</v>
      </c>
      <c r="G36" s="0" t="n">
        <v>59523.81</v>
      </c>
    </row>
    <row r="37" customFormat="false" ht="15" hidden="false" customHeight="false" outlineLevel="0" collapsed="false">
      <c r="A37" s="0" t="n">
        <v>2022</v>
      </c>
      <c r="B37" s="0" t="s">
        <v>201</v>
      </c>
      <c r="C37" s="0" t="n">
        <v>138990</v>
      </c>
      <c r="D37" s="0" t="n">
        <v>138990</v>
      </c>
      <c r="E37" s="0" t="n">
        <f aca="false">D37-C37</f>
        <v>0</v>
      </c>
      <c r="F37" s="0" t="n">
        <v>84</v>
      </c>
      <c r="G37" s="0" t="n">
        <v>59523.81</v>
      </c>
    </row>
    <row r="38" customFormat="false" ht="15" hidden="false" customHeight="false" outlineLevel="0" collapsed="false">
      <c r="A38" s="0" t="n">
        <v>2022</v>
      </c>
      <c r="B38" s="0" t="s">
        <v>202</v>
      </c>
      <c r="C38" s="0" t="n">
        <v>2289</v>
      </c>
      <c r="D38" s="0" t="n">
        <v>2289</v>
      </c>
      <c r="E38" s="0" t="n">
        <f aca="false">D38-C38</f>
        <v>0</v>
      </c>
      <c r="F38" s="0" t="n">
        <v>84</v>
      </c>
      <c r="G38" s="0" t="n">
        <v>59523.81</v>
      </c>
    </row>
    <row r="39" customFormat="false" ht="15" hidden="false" customHeight="false" outlineLevel="0" collapsed="false">
      <c r="A39" s="0" t="n">
        <v>2022</v>
      </c>
      <c r="B39" s="0" t="s">
        <v>203</v>
      </c>
      <c r="C39" s="0" t="n">
        <v>83931</v>
      </c>
      <c r="D39" s="0" t="n">
        <v>83931</v>
      </c>
      <c r="E39" s="0" t="n">
        <f aca="false">D39-C39</f>
        <v>0</v>
      </c>
      <c r="F39" s="0" t="n">
        <v>84</v>
      </c>
      <c r="G39" s="0" t="n">
        <v>59523.81</v>
      </c>
    </row>
    <row r="40" customFormat="false" ht="15" hidden="false" customHeight="false" outlineLevel="0" collapsed="false">
      <c r="A40" s="0" t="n">
        <v>2022</v>
      </c>
      <c r="B40" s="0" t="s">
        <v>2</v>
      </c>
      <c r="C40" s="0" t="n">
        <v>150801</v>
      </c>
      <c r="D40" s="0" t="n">
        <v>150801</v>
      </c>
      <c r="E40" s="0" t="n">
        <f aca="false">D40-C40</f>
        <v>0</v>
      </c>
      <c r="F40" s="0" t="n">
        <v>84</v>
      </c>
      <c r="G40" s="0" t="n">
        <v>59523.81</v>
      </c>
    </row>
    <row r="41" customFormat="false" ht="15" hidden="false" customHeight="false" outlineLevel="0" collapsed="false">
      <c r="A41" s="0" t="n">
        <v>2023</v>
      </c>
      <c r="B41" s="0" t="s">
        <v>192</v>
      </c>
      <c r="C41" s="0" t="n">
        <v>59407</v>
      </c>
      <c r="D41" s="0" t="n">
        <v>59407</v>
      </c>
      <c r="E41" s="0" t="n">
        <f aca="false">D41-C41</f>
        <v>0</v>
      </c>
      <c r="F41" s="0" t="n">
        <v>84</v>
      </c>
      <c r="G41" s="0" t="n">
        <v>59523.81</v>
      </c>
    </row>
    <row r="42" customFormat="false" ht="15" hidden="false" customHeight="false" outlineLevel="0" collapsed="false">
      <c r="A42" s="0" t="n">
        <v>2023</v>
      </c>
      <c r="B42" s="0" t="s">
        <v>193</v>
      </c>
      <c r="C42" s="0" t="n">
        <v>45014</v>
      </c>
      <c r="D42" s="0" t="n">
        <v>45014</v>
      </c>
      <c r="E42" s="0" t="n">
        <f aca="false">D42-C42</f>
        <v>0</v>
      </c>
      <c r="F42" s="0" t="n">
        <v>84</v>
      </c>
      <c r="G42" s="0" t="n">
        <v>59523.81</v>
      </c>
    </row>
    <row r="43" customFormat="false" ht="15" hidden="false" customHeight="false" outlineLevel="0" collapsed="false">
      <c r="A43" s="0" t="n">
        <v>2023</v>
      </c>
      <c r="B43" s="0" t="s">
        <v>194</v>
      </c>
      <c r="C43" s="0" t="n">
        <v>3044549</v>
      </c>
      <c r="D43" s="0" t="n">
        <v>3044549</v>
      </c>
      <c r="E43" s="0" t="n">
        <f aca="false">D43-C43</f>
        <v>0</v>
      </c>
      <c r="F43" s="0" t="n">
        <v>84</v>
      </c>
      <c r="G43" s="0" t="n">
        <v>59523.81</v>
      </c>
    </row>
    <row r="44" customFormat="false" ht="15" hidden="false" customHeight="false" outlineLevel="0" collapsed="false">
      <c r="A44" s="0" t="n">
        <v>2023</v>
      </c>
      <c r="B44" s="0" t="s">
        <v>195</v>
      </c>
      <c r="C44" s="0" t="n">
        <v>658527</v>
      </c>
      <c r="D44" s="0" t="n">
        <v>658527</v>
      </c>
      <c r="E44" s="0" t="n">
        <f aca="false">D44-C44</f>
        <v>0</v>
      </c>
      <c r="F44" s="0" t="n">
        <v>84</v>
      </c>
      <c r="G44" s="0" t="n">
        <v>59523.81</v>
      </c>
    </row>
    <row r="45" customFormat="false" ht="15" hidden="false" customHeight="false" outlineLevel="0" collapsed="false">
      <c r="A45" s="0" t="n">
        <v>2023</v>
      </c>
      <c r="B45" s="0" t="s">
        <v>196</v>
      </c>
      <c r="C45" s="0" t="n">
        <v>8269</v>
      </c>
      <c r="D45" s="0" t="n">
        <v>8269</v>
      </c>
      <c r="E45" s="0" t="n">
        <f aca="false">D45-C45</f>
        <v>0</v>
      </c>
      <c r="F45" s="0" t="n">
        <v>84</v>
      </c>
      <c r="G45" s="0" t="n">
        <v>59523.81</v>
      </c>
    </row>
    <row r="46" customFormat="false" ht="15" hidden="false" customHeight="false" outlineLevel="0" collapsed="false">
      <c r="A46" s="0" t="n">
        <v>2023</v>
      </c>
      <c r="B46" s="0" t="s">
        <v>197</v>
      </c>
      <c r="C46" s="0" t="n">
        <v>163527</v>
      </c>
      <c r="D46" s="0" t="n">
        <v>163527</v>
      </c>
      <c r="E46" s="0" t="n">
        <f aca="false">D46-C46</f>
        <v>0</v>
      </c>
      <c r="F46" s="0" t="n">
        <v>84</v>
      </c>
      <c r="G46" s="0" t="n">
        <v>59523.81</v>
      </c>
    </row>
    <row r="47" customFormat="false" ht="15" hidden="false" customHeight="false" outlineLevel="0" collapsed="false">
      <c r="A47" s="0" t="n">
        <v>2023</v>
      </c>
      <c r="B47" s="0" t="s">
        <v>198</v>
      </c>
      <c r="C47" s="0" t="n">
        <v>415168</v>
      </c>
      <c r="D47" s="0" t="n">
        <v>415168</v>
      </c>
      <c r="E47" s="0" t="n">
        <f aca="false">D47-C47</f>
        <v>0</v>
      </c>
      <c r="F47" s="0" t="n">
        <v>84</v>
      </c>
      <c r="G47" s="0" t="n">
        <v>59523.81</v>
      </c>
    </row>
    <row r="48" customFormat="false" ht="15" hidden="false" customHeight="false" outlineLevel="0" collapsed="false">
      <c r="A48" s="0" t="n">
        <v>2023</v>
      </c>
      <c r="B48" s="0" t="s">
        <v>199</v>
      </c>
      <c r="C48" s="0" t="n">
        <v>34443</v>
      </c>
      <c r="D48" s="0" t="n">
        <v>34443</v>
      </c>
      <c r="E48" s="0" t="n">
        <f aca="false">D48-C48</f>
        <v>0</v>
      </c>
      <c r="F48" s="0" t="n">
        <v>84</v>
      </c>
      <c r="G48" s="0" t="n">
        <v>59523.81</v>
      </c>
    </row>
    <row r="49" customFormat="false" ht="15" hidden="false" customHeight="false" outlineLevel="0" collapsed="false">
      <c r="A49" s="0" t="n">
        <v>2023</v>
      </c>
      <c r="B49" s="0" t="s">
        <v>200</v>
      </c>
      <c r="C49" s="0" t="n">
        <v>187558</v>
      </c>
      <c r="D49" s="0" t="n">
        <v>187558</v>
      </c>
      <c r="E49" s="0" t="n">
        <f aca="false">D49-C49</f>
        <v>0</v>
      </c>
      <c r="F49" s="0" t="n">
        <v>84</v>
      </c>
      <c r="G49" s="0" t="n">
        <v>59523.81</v>
      </c>
    </row>
    <row r="50" customFormat="false" ht="15" hidden="false" customHeight="false" outlineLevel="0" collapsed="false">
      <c r="A50" s="0" t="n">
        <v>2023</v>
      </c>
      <c r="B50" s="0" t="s">
        <v>201</v>
      </c>
      <c r="C50" s="0" t="n">
        <v>138229</v>
      </c>
      <c r="D50" s="0" t="n">
        <v>138229</v>
      </c>
      <c r="E50" s="0" t="n">
        <f aca="false">D50-C50</f>
        <v>0</v>
      </c>
      <c r="F50" s="0" t="n">
        <v>84</v>
      </c>
      <c r="G50" s="0" t="n">
        <v>59523.81</v>
      </c>
    </row>
    <row r="51" customFormat="false" ht="15" hidden="false" customHeight="false" outlineLevel="0" collapsed="false">
      <c r="A51" s="0" t="n">
        <v>2023</v>
      </c>
      <c r="B51" s="0" t="s">
        <v>202</v>
      </c>
      <c r="C51" s="0" t="n">
        <v>2053</v>
      </c>
      <c r="D51" s="0" t="n">
        <v>2053</v>
      </c>
      <c r="E51" s="0" t="n">
        <f aca="false">D51-C51</f>
        <v>0</v>
      </c>
      <c r="F51" s="0" t="n">
        <v>84</v>
      </c>
      <c r="G51" s="0" t="n">
        <v>59523.81</v>
      </c>
    </row>
    <row r="52" customFormat="false" ht="15" hidden="false" customHeight="false" outlineLevel="0" collapsed="false">
      <c r="A52" s="0" t="n">
        <v>2023</v>
      </c>
      <c r="B52" s="0" t="s">
        <v>203</v>
      </c>
      <c r="C52" s="0" t="n">
        <v>141628</v>
      </c>
      <c r="D52" s="0" t="n">
        <v>141628</v>
      </c>
      <c r="E52" s="0" t="n">
        <f aca="false">D52-C52</f>
        <v>0</v>
      </c>
      <c r="F52" s="0" t="n">
        <v>84</v>
      </c>
      <c r="G52" s="0" t="n">
        <v>59523.81</v>
      </c>
    </row>
    <row r="53" customFormat="false" ht="15" hidden="false" customHeight="false" outlineLevel="0" collapsed="false">
      <c r="A53" s="0" t="n">
        <v>2023</v>
      </c>
      <c r="B53" s="0" t="s">
        <v>2</v>
      </c>
      <c r="C53" s="0" t="n">
        <v>101629</v>
      </c>
      <c r="D53" s="0" t="n">
        <v>101629</v>
      </c>
      <c r="E53" s="0" t="n">
        <f aca="false">D53-C53</f>
        <v>0</v>
      </c>
      <c r="F53" s="0" t="n">
        <v>84</v>
      </c>
      <c r="G53" s="0" t="n">
        <v>59523.81</v>
      </c>
    </row>
    <row r="54" customFormat="false" ht="15" hidden="false" customHeight="false" outlineLevel="0" collapsed="false">
      <c r="A54" s="0" t="n">
        <v>2024</v>
      </c>
      <c r="B54" s="0" t="s">
        <v>192</v>
      </c>
      <c r="C54" s="0" t="n">
        <v>70537</v>
      </c>
      <c r="D54" s="0" t="n">
        <v>70537</v>
      </c>
      <c r="E54" s="0" t="n">
        <f aca="false">D54-C54</f>
        <v>0</v>
      </c>
      <c r="F54" s="0" t="n">
        <v>83</v>
      </c>
      <c r="G54" s="0" t="n">
        <v>60240.96</v>
      </c>
    </row>
    <row r="55" customFormat="false" ht="15" hidden="false" customHeight="false" outlineLevel="0" collapsed="false">
      <c r="A55" s="0" t="n">
        <v>2024</v>
      </c>
      <c r="B55" s="0" t="s">
        <v>193</v>
      </c>
      <c r="C55" s="0" t="n">
        <v>42779</v>
      </c>
      <c r="D55" s="0" t="n">
        <v>42779</v>
      </c>
      <c r="E55" s="0" t="n">
        <f aca="false">D55-C55</f>
        <v>0</v>
      </c>
      <c r="F55" s="0" t="n">
        <v>83</v>
      </c>
      <c r="G55" s="0" t="n">
        <v>60240.96</v>
      </c>
    </row>
    <row r="56" customFormat="false" ht="15" hidden="false" customHeight="false" outlineLevel="0" collapsed="false">
      <c r="A56" s="0" t="n">
        <v>2024</v>
      </c>
      <c r="B56" s="0" t="s">
        <v>194</v>
      </c>
      <c r="C56" s="0" t="n">
        <v>3025118</v>
      </c>
      <c r="D56" s="0" t="n">
        <v>3025118</v>
      </c>
      <c r="E56" s="0" t="n">
        <f aca="false">D56-C56</f>
        <v>0</v>
      </c>
      <c r="F56" s="0" t="n">
        <v>83</v>
      </c>
      <c r="G56" s="0" t="n">
        <v>60240.96</v>
      </c>
    </row>
    <row r="57" customFormat="false" ht="15" hidden="false" customHeight="false" outlineLevel="0" collapsed="false">
      <c r="A57" s="0" t="n">
        <v>2024</v>
      </c>
      <c r="B57" s="0" t="s">
        <v>195</v>
      </c>
      <c r="C57" s="0" t="n">
        <v>652827</v>
      </c>
      <c r="D57" s="0" t="n">
        <v>652827</v>
      </c>
      <c r="E57" s="0" t="n">
        <f aca="false">D57-C57</f>
        <v>0</v>
      </c>
      <c r="F57" s="0" t="n">
        <v>83</v>
      </c>
      <c r="G57" s="0" t="n">
        <v>60240.96</v>
      </c>
    </row>
    <row r="58" customFormat="false" ht="15" hidden="false" customHeight="false" outlineLevel="0" collapsed="false">
      <c r="A58" s="0" t="n">
        <v>2024</v>
      </c>
      <c r="B58" s="0" t="s">
        <v>196</v>
      </c>
      <c r="C58" s="0" t="n">
        <v>8572</v>
      </c>
      <c r="D58" s="0" t="n">
        <v>8572</v>
      </c>
      <c r="E58" s="0" t="n">
        <f aca="false">D58-C58</f>
        <v>0</v>
      </c>
      <c r="F58" s="0" t="n">
        <v>83</v>
      </c>
      <c r="G58" s="0" t="n">
        <v>60240.96</v>
      </c>
    </row>
    <row r="59" customFormat="false" ht="15" hidden="false" customHeight="false" outlineLevel="0" collapsed="false">
      <c r="A59" s="0" t="n">
        <v>2024</v>
      </c>
      <c r="B59" s="0" t="s">
        <v>197</v>
      </c>
      <c r="C59" s="0" t="n">
        <v>155965</v>
      </c>
      <c r="D59" s="0" t="n">
        <v>155965</v>
      </c>
      <c r="E59" s="0" t="n">
        <f aca="false">D59-C59</f>
        <v>0</v>
      </c>
      <c r="F59" s="0" t="n">
        <v>83</v>
      </c>
      <c r="G59" s="0" t="n">
        <v>60240.96</v>
      </c>
    </row>
    <row r="60" customFormat="false" ht="15" hidden="false" customHeight="false" outlineLevel="0" collapsed="false">
      <c r="A60" s="0" t="n">
        <v>2024</v>
      </c>
      <c r="B60" s="0" t="s">
        <v>198</v>
      </c>
      <c r="C60" s="0" t="n">
        <v>400739</v>
      </c>
      <c r="D60" s="0" t="n">
        <v>400739</v>
      </c>
      <c r="E60" s="0" t="n">
        <f aca="false">D60-C60</f>
        <v>0</v>
      </c>
      <c r="F60" s="0" t="n">
        <v>83</v>
      </c>
      <c r="G60" s="0" t="n">
        <v>60240.96</v>
      </c>
    </row>
    <row r="61" customFormat="false" ht="15" hidden="false" customHeight="false" outlineLevel="0" collapsed="false">
      <c r="A61" s="0" t="n">
        <v>2024</v>
      </c>
      <c r="B61" s="0" t="s">
        <v>199</v>
      </c>
      <c r="C61" s="0" t="n">
        <v>35518</v>
      </c>
      <c r="D61" s="0" t="n">
        <v>35518</v>
      </c>
      <c r="E61" s="0" t="n">
        <f aca="false">D61-C61</f>
        <v>0</v>
      </c>
      <c r="F61" s="0" t="n">
        <v>83</v>
      </c>
      <c r="G61" s="0" t="n">
        <v>60240.96</v>
      </c>
    </row>
    <row r="62" customFormat="false" ht="15" hidden="false" customHeight="false" outlineLevel="0" collapsed="false">
      <c r="A62" s="0" t="n">
        <v>2024</v>
      </c>
      <c r="B62" s="0" t="s">
        <v>200</v>
      </c>
      <c r="C62" s="0" t="n">
        <v>195817</v>
      </c>
      <c r="D62" s="0" t="n">
        <v>195817</v>
      </c>
      <c r="E62" s="0" t="n">
        <f aca="false">D62-C62</f>
        <v>0</v>
      </c>
      <c r="F62" s="0" t="n">
        <v>83</v>
      </c>
      <c r="G62" s="0" t="n">
        <v>60240.96</v>
      </c>
    </row>
    <row r="63" customFormat="false" ht="15" hidden="false" customHeight="false" outlineLevel="0" collapsed="false">
      <c r="A63" s="0" t="n">
        <v>2024</v>
      </c>
      <c r="B63" s="0" t="s">
        <v>201</v>
      </c>
      <c r="C63" s="0" t="n">
        <v>137727</v>
      </c>
      <c r="D63" s="0" t="n">
        <v>137727</v>
      </c>
      <c r="E63" s="0" t="n">
        <f aca="false">D63-C63</f>
        <v>0</v>
      </c>
      <c r="F63" s="0" t="n">
        <v>83</v>
      </c>
      <c r="G63" s="0" t="n">
        <v>60240.96</v>
      </c>
    </row>
    <row r="64" customFormat="false" ht="15" hidden="false" customHeight="false" outlineLevel="0" collapsed="false">
      <c r="A64" s="0" t="n">
        <v>2024</v>
      </c>
      <c r="B64" s="0" t="s">
        <v>202</v>
      </c>
      <c r="C64" s="0" t="n">
        <v>2231</v>
      </c>
      <c r="D64" s="0" t="n">
        <v>2231</v>
      </c>
      <c r="E64" s="0" t="n">
        <f aca="false">D64-C64</f>
        <v>0</v>
      </c>
      <c r="F64" s="0" t="n">
        <v>83</v>
      </c>
      <c r="G64" s="0" t="n">
        <v>60240.96</v>
      </c>
    </row>
    <row r="65" customFormat="false" ht="15" hidden="false" customHeight="false" outlineLevel="0" collapsed="false">
      <c r="A65" s="0" t="n">
        <v>2024</v>
      </c>
      <c r="B65" s="0" t="s">
        <v>203</v>
      </c>
      <c r="C65" s="0" t="n">
        <v>150261</v>
      </c>
      <c r="D65" s="0" t="n">
        <v>150261</v>
      </c>
      <c r="E65" s="0" t="n">
        <f aca="false">D65-C65</f>
        <v>0</v>
      </c>
      <c r="F65" s="0" t="n">
        <v>83</v>
      </c>
      <c r="G65" s="0" t="n">
        <v>60240.96</v>
      </c>
    </row>
    <row r="66" customFormat="false" ht="15" hidden="false" customHeight="false" outlineLevel="0" collapsed="false">
      <c r="A66" s="0" t="n">
        <v>2024</v>
      </c>
      <c r="B66" s="0" t="s">
        <v>2</v>
      </c>
      <c r="C66" s="0" t="n">
        <v>121909</v>
      </c>
      <c r="D66" s="0" t="n">
        <v>121909</v>
      </c>
      <c r="E66" s="0" t="n">
        <f aca="false">D66-C66</f>
        <v>0</v>
      </c>
      <c r="F66" s="0" t="n">
        <v>83</v>
      </c>
      <c r="G66" s="0" t="n">
        <v>60240.96</v>
      </c>
    </row>
    <row r="67" customFormat="false" ht="15" hidden="false" customHeight="false" outlineLevel="0" collapsed="false">
      <c r="A67" s="0" t="n">
        <v>2025</v>
      </c>
      <c r="B67" s="0" t="s">
        <v>192</v>
      </c>
      <c r="C67" s="0" t="n">
        <v>79734</v>
      </c>
      <c r="D67" s="0" t="n">
        <v>79734</v>
      </c>
      <c r="E67" s="0" t="n">
        <f aca="false">D67-C67</f>
        <v>0</v>
      </c>
      <c r="F67" s="0" t="n">
        <v>82</v>
      </c>
      <c r="G67" s="0" t="n">
        <v>60975.61</v>
      </c>
    </row>
    <row r="68" customFormat="false" ht="15" hidden="false" customHeight="false" outlineLevel="0" collapsed="false">
      <c r="A68" s="0" t="n">
        <v>2025</v>
      </c>
      <c r="B68" s="0" t="s">
        <v>193</v>
      </c>
      <c r="C68" s="0" t="n">
        <v>35349</v>
      </c>
      <c r="D68" s="0" t="n">
        <v>35349</v>
      </c>
      <c r="E68" s="0" t="n">
        <f aca="false">D68-C68</f>
        <v>0</v>
      </c>
      <c r="F68" s="0" t="n">
        <v>82</v>
      </c>
      <c r="G68" s="0" t="n">
        <v>60975.61</v>
      </c>
    </row>
    <row r="69" customFormat="false" ht="15" hidden="false" customHeight="false" outlineLevel="0" collapsed="false">
      <c r="A69" s="0" t="n">
        <v>2025</v>
      </c>
      <c r="B69" s="0" t="s">
        <v>194</v>
      </c>
      <c r="C69" s="0" t="n">
        <v>3033114</v>
      </c>
      <c r="D69" s="0" t="n">
        <v>3033114</v>
      </c>
      <c r="E69" s="0" t="n">
        <f aca="false">D69-C69</f>
        <v>0</v>
      </c>
      <c r="F69" s="0" t="n">
        <v>82</v>
      </c>
      <c r="G69" s="0" t="n">
        <v>60975.61</v>
      </c>
    </row>
    <row r="70" customFormat="false" ht="15" hidden="false" customHeight="false" outlineLevel="0" collapsed="false">
      <c r="A70" s="0" t="n">
        <v>2025</v>
      </c>
      <c r="B70" s="0" t="s">
        <v>195</v>
      </c>
      <c r="C70" s="0" t="n">
        <v>643896</v>
      </c>
      <c r="D70" s="0" t="n">
        <v>643896</v>
      </c>
      <c r="E70" s="0" t="n">
        <f aca="false">D70-C70</f>
        <v>0</v>
      </c>
      <c r="F70" s="0" t="n">
        <v>82</v>
      </c>
      <c r="G70" s="0" t="n">
        <v>60975.61</v>
      </c>
    </row>
    <row r="71" customFormat="false" ht="15" hidden="false" customHeight="false" outlineLevel="0" collapsed="false">
      <c r="A71" s="0" t="n">
        <v>2025</v>
      </c>
      <c r="B71" s="0" t="s">
        <v>196</v>
      </c>
      <c r="C71" s="0" t="n">
        <v>8074</v>
      </c>
      <c r="D71" s="0" t="n">
        <v>8074</v>
      </c>
      <c r="E71" s="0" t="n">
        <f aca="false">D71-C71</f>
        <v>0</v>
      </c>
      <c r="F71" s="0" t="n">
        <v>82</v>
      </c>
      <c r="G71" s="0" t="n">
        <v>60975.61</v>
      </c>
    </row>
    <row r="72" customFormat="false" ht="15" hidden="false" customHeight="false" outlineLevel="0" collapsed="false">
      <c r="A72" s="0" t="n">
        <v>2025</v>
      </c>
      <c r="B72" s="0" t="s">
        <v>197</v>
      </c>
      <c r="C72" s="0" t="n">
        <v>146097</v>
      </c>
      <c r="D72" s="0" t="n">
        <v>146097</v>
      </c>
      <c r="E72" s="0" t="n">
        <f aca="false">D72-C72</f>
        <v>0</v>
      </c>
      <c r="F72" s="0" t="n">
        <v>82</v>
      </c>
      <c r="G72" s="0" t="n">
        <v>60975.61</v>
      </c>
    </row>
    <row r="73" customFormat="false" ht="15" hidden="false" customHeight="false" outlineLevel="0" collapsed="false">
      <c r="A73" s="0" t="n">
        <v>2025</v>
      </c>
      <c r="B73" s="0" t="s">
        <v>198</v>
      </c>
      <c r="C73" s="0" t="n">
        <v>458536</v>
      </c>
      <c r="D73" s="0" t="n">
        <v>458536</v>
      </c>
      <c r="E73" s="0" t="n">
        <f aca="false">D73-C73</f>
        <v>0</v>
      </c>
      <c r="F73" s="0" t="n">
        <v>82</v>
      </c>
      <c r="G73" s="0" t="n">
        <v>60975.61</v>
      </c>
    </row>
    <row r="74" customFormat="false" ht="15" hidden="false" customHeight="false" outlineLevel="0" collapsed="false">
      <c r="A74" s="0" t="n">
        <v>2025</v>
      </c>
      <c r="B74" s="0" t="s">
        <v>199</v>
      </c>
      <c r="C74" s="0" t="n">
        <v>35919</v>
      </c>
      <c r="D74" s="0" t="n">
        <v>35919</v>
      </c>
      <c r="E74" s="0" t="n">
        <f aca="false">D74-C74</f>
        <v>0</v>
      </c>
      <c r="F74" s="0" t="n">
        <v>82</v>
      </c>
      <c r="G74" s="0" t="n">
        <v>60975.61</v>
      </c>
    </row>
    <row r="75" customFormat="false" ht="15" hidden="false" customHeight="false" outlineLevel="0" collapsed="false">
      <c r="A75" s="0" t="n">
        <v>2025</v>
      </c>
      <c r="B75" s="0" t="s">
        <v>200</v>
      </c>
      <c r="C75" s="0" t="n">
        <v>215416</v>
      </c>
      <c r="D75" s="0" t="n">
        <v>215416</v>
      </c>
      <c r="E75" s="0" t="n">
        <f aca="false">D75-C75</f>
        <v>0</v>
      </c>
      <c r="F75" s="0" t="n">
        <v>82</v>
      </c>
      <c r="G75" s="0" t="n">
        <v>60975.61</v>
      </c>
    </row>
    <row r="76" customFormat="false" ht="15" hidden="false" customHeight="false" outlineLevel="0" collapsed="false">
      <c r="A76" s="0" t="n">
        <v>2025</v>
      </c>
      <c r="B76" s="0" t="s">
        <v>201</v>
      </c>
      <c r="C76" s="0" t="n">
        <v>144532</v>
      </c>
      <c r="D76" s="0" t="n">
        <v>144532</v>
      </c>
      <c r="E76" s="0" t="n">
        <f aca="false">D76-C76</f>
        <v>0</v>
      </c>
      <c r="F76" s="0" t="n">
        <v>82</v>
      </c>
      <c r="G76" s="0" t="n">
        <v>60975.61</v>
      </c>
    </row>
    <row r="77" customFormat="false" ht="15" hidden="false" customHeight="false" outlineLevel="0" collapsed="false">
      <c r="A77" s="0" t="n">
        <v>2025</v>
      </c>
      <c r="B77" s="0" t="s">
        <v>202</v>
      </c>
      <c r="C77" s="0" t="n">
        <v>4818</v>
      </c>
      <c r="D77" s="0" t="n">
        <v>4818</v>
      </c>
      <c r="E77" s="0" t="n">
        <f aca="false">D77-C77</f>
        <v>0</v>
      </c>
      <c r="F77" s="0" t="n">
        <v>82</v>
      </c>
      <c r="G77" s="0" t="n">
        <v>60975.61</v>
      </c>
    </row>
    <row r="78" customFormat="false" ht="15" hidden="false" customHeight="false" outlineLevel="0" collapsed="false">
      <c r="A78" s="0" t="n">
        <v>2025</v>
      </c>
      <c r="B78" s="0" t="s">
        <v>203</v>
      </c>
      <c r="C78" s="0" t="n">
        <v>77368</v>
      </c>
      <c r="D78" s="0" t="n">
        <v>77368</v>
      </c>
      <c r="E78" s="0" t="n">
        <f aca="false">D78-C78</f>
        <v>0</v>
      </c>
      <c r="F78" s="0" t="n">
        <v>82</v>
      </c>
      <c r="G78" s="0" t="n">
        <v>60975.61</v>
      </c>
    </row>
    <row r="79" customFormat="false" ht="15" hidden="false" customHeight="false" outlineLevel="0" collapsed="false">
      <c r="A79" s="0" t="n">
        <v>2025</v>
      </c>
      <c r="B79" s="0" t="s">
        <v>2</v>
      </c>
      <c r="C79" s="0" t="n">
        <v>117147</v>
      </c>
      <c r="D79" s="0" t="n">
        <v>117147</v>
      </c>
      <c r="E79" s="0" t="n">
        <f aca="false">D79-C79</f>
        <v>0</v>
      </c>
      <c r="F79" s="0" t="n">
        <v>82</v>
      </c>
      <c r="G79" s="0" t="n">
        <v>60975.61</v>
      </c>
    </row>
    <row r="81" customFormat="false" ht="15" hidden="false" customHeight="false" outlineLevel="0" collapsed="false">
      <c r="B81" s="0" t="s">
        <v>209</v>
      </c>
      <c r="C81" s="0" t="n">
        <f aca="false">COUNTIF(E2:E79,"&lt;&gt;0")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7" min="1" style="0" width="22"/>
  </cols>
  <sheetData>
    <row r="1" customFormat="false" ht="15" hidden="false" customHeight="false" outlineLevel="0" collapsed="false">
      <c r="A1" s="2" t="s">
        <v>186</v>
      </c>
      <c r="B1" s="2" t="s">
        <v>210</v>
      </c>
      <c r="C1" s="2" t="s">
        <v>211</v>
      </c>
      <c r="D1" s="2" t="s">
        <v>212</v>
      </c>
      <c r="E1" s="2" t="s">
        <v>213</v>
      </c>
      <c r="F1" s="2" t="s">
        <v>214</v>
      </c>
    </row>
    <row r="2" customFormat="false" ht="15" hidden="false" customHeight="false" outlineLevel="0" collapsed="false">
      <c r="A2" s="0" t="s">
        <v>192</v>
      </c>
      <c r="B2" s="0" t="n">
        <v>85113</v>
      </c>
      <c r="C2" s="0" t="n">
        <f aca="false">Draws_2026!B2</f>
        <v>87189</v>
      </c>
      <c r="D2" s="0" t="n">
        <f aca="false">B2-C2</f>
        <v>-2076</v>
      </c>
      <c r="E2" s="0" t="n">
        <v>6.75</v>
      </c>
      <c r="F2" s="3" t="n">
        <f aca="false">Draws_2026!D2</f>
        <v>9.34983821205508</v>
      </c>
    </row>
    <row r="3" customFormat="false" ht="15" hidden="false" customHeight="false" outlineLevel="0" collapsed="false">
      <c r="A3" s="0" t="s">
        <v>193</v>
      </c>
      <c r="B3" s="0" t="n">
        <v>33023</v>
      </c>
      <c r="C3" s="0" t="n">
        <f aca="false">Draws_2026!B3</f>
        <v>33828</v>
      </c>
      <c r="D3" s="0" t="n">
        <f aca="false">B3-C3</f>
        <v>-805</v>
      </c>
      <c r="E3" s="0" t="n">
        <v>-6.58</v>
      </c>
      <c r="F3" s="3" t="n">
        <f aca="false">Draws_2026!D3</f>
        <v>-4.30280913180005</v>
      </c>
    </row>
    <row r="4" customFormat="false" ht="15" hidden="false" customHeight="false" outlineLevel="0" collapsed="false">
      <c r="A4" s="0" t="s">
        <v>194</v>
      </c>
      <c r="B4" s="0" t="n">
        <v>2974677</v>
      </c>
      <c r="C4" s="0" t="n">
        <f aca="false">Draws_2026!B4</f>
        <v>2986255</v>
      </c>
      <c r="D4" s="0" t="n">
        <f aca="false">B4-C4</f>
        <v>-11578</v>
      </c>
      <c r="E4" s="0" t="n">
        <v>-1.93</v>
      </c>
      <c r="F4" s="3" t="n">
        <f aca="false">Draws_2026!D4</f>
        <v>-1.54491390696162</v>
      </c>
    </row>
    <row r="5" customFormat="false" ht="15" hidden="false" customHeight="false" outlineLevel="0" collapsed="false">
      <c r="A5" s="0" t="s">
        <v>195</v>
      </c>
      <c r="B5" s="0" t="n">
        <v>637537</v>
      </c>
      <c r="C5" s="0" t="n">
        <f aca="false">Draws_2026!B5</f>
        <v>653087</v>
      </c>
      <c r="D5" s="0" t="n">
        <f aca="false">B5-C5</f>
        <v>-15550</v>
      </c>
      <c r="E5" s="0" t="n">
        <v>-0.99</v>
      </c>
      <c r="F5" s="3" t="n">
        <f aca="false">Draws_2026!D5</f>
        <v>1.42740442555941</v>
      </c>
    </row>
    <row r="6" customFormat="false" ht="15" hidden="false" customHeight="false" outlineLevel="0" collapsed="false">
      <c r="A6" s="0" t="s">
        <v>196</v>
      </c>
      <c r="B6" s="0" t="n">
        <v>7820</v>
      </c>
      <c r="C6" s="0" t="n">
        <f aca="false">Draws_2026!B6</f>
        <v>8011</v>
      </c>
      <c r="D6" s="0" t="n">
        <f aca="false">B6-C6</f>
        <v>-191</v>
      </c>
      <c r="E6" s="0" t="n">
        <v>-3.15</v>
      </c>
      <c r="F6" s="3" t="n">
        <f aca="false">Draws_2026!D6</f>
        <v>-0.780282387911816</v>
      </c>
    </row>
    <row r="7" customFormat="false" ht="15" hidden="false" customHeight="false" outlineLevel="0" collapsed="false">
      <c r="A7" s="0" t="s">
        <v>197</v>
      </c>
      <c r="B7" s="0" t="n">
        <v>129617</v>
      </c>
      <c r="C7" s="0" t="n">
        <f aca="false">Draws_2026!B7</f>
        <v>132778</v>
      </c>
      <c r="D7" s="0" t="n">
        <f aca="false">B7-C7</f>
        <v>-3161</v>
      </c>
      <c r="E7" s="0" t="n">
        <v>-11.28</v>
      </c>
      <c r="F7" s="3" t="n">
        <f aca="false">Draws_2026!D7</f>
        <v>-9.11654585651998</v>
      </c>
    </row>
    <row r="8" customFormat="false" ht="15" hidden="false" customHeight="false" outlineLevel="0" collapsed="false">
      <c r="A8" s="0" t="s">
        <v>198</v>
      </c>
      <c r="B8" s="0" t="n">
        <v>458027</v>
      </c>
      <c r="C8" s="0" t="n">
        <f aca="false">Draws_2026!B8</f>
        <v>469198</v>
      </c>
      <c r="D8" s="0" t="n">
        <f aca="false">B8-C8</f>
        <v>-11171</v>
      </c>
      <c r="E8" s="0" t="n">
        <v>-0.11</v>
      </c>
      <c r="F8" s="3" t="n">
        <f aca="false">Draws_2026!D8</f>
        <v>2.32522637262941</v>
      </c>
    </row>
    <row r="9" customFormat="false" ht="15" hidden="false" customHeight="false" outlineLevel="0" collapsed="false">
      <c r="A9" s="0" t="s">
        <v>199</v>
      </c>
      <c r="B9" s="0" t="n">
        <v>39248</v>
      </c>
      <c r="C9" s="0" t="n">
        <f aca="false">Draws_2026!B9</f>
        <v>40205</v>
      </c>
      <c r="D9" s="0" t="n">
        <f aca="false">B9-C9</f>
        <v>-957</v>
      </c>
      <c r="E9" s="0" t="n">
        <v>9.27</v>
      </c>
      <c r="F9" s="3" t="n">
        <f aca="false">Draws_2026!D9</f>
        <v>11.9324034633481</v>
      </c>
    </row>
    <row r="10" customFormat="false" ht="15" hidden="false" customHeight="false" outlineLevel="0" collapsed="false">
      <c r="A10" s="0" t="s">
        <v>200</v>
      </c>
      <c r="B10" s="0" t="n">
        <v>252063</v>
      </c>
      <c r="C10" s="0" t="n">
        <f aca="false">Draws_2026!B10</f>
        <v>258211</v>
      </c>
      <c r="D10" s="0" t="n">
        <f aca="false">B10-C10</f>
        <v>-6148</v>
      </c>
      <c r="E10" s="0" t="n">
        <v>17.01</v>
      </c>
      <c r="F10" s="3" t="n">
        <f aca="false">Draws_2026!D10</f>
        <v>19.8662123519144</v>
      </c>
    </row>
    <row r="11" customFormat="false" ht="15" hidden="false" customHeight="false" outlineLevel="0" collapsed="false">
      <c r="A11" s="0" t="s">
        <v>201</v>
      </c>
      <c r="B11" s="0" t="n">
        <v>139594</v>
      </c>
      <c r="C11" s="0" t="n">
        <f aca="false">Draws_2026!B11</f>
        <v>142998</v>
      </c>
      <c r="D11" s="0" t="n">
        <f aca="false">B11-C11</f>
        <v>-3404</v>
      </c>
      <c r="E11" s="0" t="n">
        <v>-3.42</v>
      </c>
      <c r="F11" s="3" t="n">
        <f aca="false">Draws_2026!D11</f>
        <v>-1.06135665458168</v>
      </c>
    </row>
    <row r="12" customFormat="false" ht="15" hidden="false" customHeight="false" outlineLevel="0" collapsed="false">
      <c r="A12" s="0" t="s">
        <v>202</v>
      </c>
      <c r="B12" s="0" t="n">
        <v>4760</v>
      </c>
      <c r="C12" s="0" t="n">
        <f aca="false">Draws_2026!B12</f>
        <v>4876</v>
      </c>
      <c r="D12" s="0" t="n">
        <f aca="false">B12-C12</f>
        <v>-116</v>
      </c>
      <c r="E12" s="0" t="n">
        <v>-1.2</v>
      </c>
      <c r="F12" s="3" t="n">
        <f aca="false">Draws_2026!D12</f>
        <v>1.20381901203819</v>
      </c>
    </row>
    <row r="13" customFormat="false" ht="15" hidden="false" customHeight="false" outlineLevel="0" collapsed="false">
      <c r="A13" s="0" t="s">
        <v>203</v>
      </c>
      <c r="B13" s="0" t="n">
        <v>78050</v>
      </c>
      <c r="C13" s="0" t="n">
        <f aca="false">Draws_2026!B13</f>
        <v>79953</v>
      </c>
      <c r="D13" s="0" t="n">
        <f aca="false">B13-C13</f>
        <v>-1903</v>
      </c>
      <c r="E13" s="0" t="n">
        <v>0.88</v>
      </c>
      <c r="F13" s="3" t="n">
        <f aca="false">Draws_2026!D13</f>
        <v>3.34117464584841</v>
      </c>
    </row>
    <row r="14" customFormat="false" ht="15" hidden="false" customHeight="false" outlineLevel="0" collapsed="false">
      <c r="A14" s="0" t="s">
        <v>2</v>
      </c>
      <c r="B14" s="0" t="n">
        <v>160470</v>
      </c>
      <c r="C14" s="0" t="n">
        <f aca="false">Draws_2026!B14</f>
        <v>103409</v>
      </c>
      <c r="D14" s="0" t="n">
        <f aca="false">B14-C14</f>
        <v>57061</v>
      </c>
      <c r="E14" s="0" t="n">
        <v>36.98</v>
      </c>
      <c r="F14" s="3" t="n">
        <f aca="false">Draws_2026!D14</f>
        <v>-11.7271462350722</v>
      </c>
    </row>
    <row r="16" customFormat="false" ht="15" hidden="false" customHeight="false" outlineLevel="0" collapsed="false">
      <c r="A16" s="0" t="s">
        <v>215</v>
      </c>
    </row>
    <row r="17" customFormat="false" ht="15" hidden="false" customHeight="false" outlineLevel="0" collapsed="false">
      <c r="A17" s="0" t="s">
        <v>63</v>
      </c>
      <c r="B17" s="0" t="s">
        <v>64</v>
      </c>
      <c r="C17" s="0" t="s">
        <v>216</v>
      </c>
    </row>
    <row r="18" customFormat="false" ht="15" hidden="false" customHeight="false" outlineLevel="0" collapsed="false">
      <c r="A18" s="0" t="s">
        <v>155</v>
      </c>
      <c r="B18" s="0" t="s">
        <v>156</v>
      </c>
      <c r="C18" s="0" t="s">
        <v>217</v>
      </c>
    </row>
    <row r="20" customFormat="false" ht="15" hidden="false" customHeight="false" outlineLevel="0" collapsed="false">
      <c r="A20" s="0" t="s">
        <v>218</v>
      </c>
      <c r="B20" s="0" t="s">
        <v>219</v>
      </c>
      <c r="C20" s="0" t="s">
        <v>220</v>
      </c>
      <c r="D20" s="0" t="s">
        <v>221</v>
      </c>
      <c r="E20" s="0" t="s">
        <v>222</v>
      </c>
      <c r="F20" s="0" t="s">
        <v>223</v>
      </c>
      <c r="G20" s="0" t="s">
        <v>224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" min="1" style="0" width="22"/>
  </cols>
  <sheetData>
    <row r="1" customFormat="false" ht="15" hidden="false" customHeight="false" outlineLevel="0" collapsed="false">
      <c r="A1" s="2" t="s">
        <v>12</v>
      </c>
      <c r="B1" s="2" t="s">
        <v>225</v>
      </c>
      <c r="C1" s="2" t="s">
        <v>226</v>
      </c>
      <c r="D1" s="2" t="s">
        <v>227</v>
      </c>
      <c r="E1" s="2" t="s">
        <v>228</v>
      </c>
      <c r="F1" s="2" t="s">
        <v>229</v>
      </c>
      <c r="G1" s="2" t="s">
        <v>230</v>
      </c>
      <c r="H1" s="2" t="s">
        <v>231</v>
      </c>
    </row>
    <row r="2" customFormat="false" ht="15" hidden="false" customHeight="false" outlineLevel="0" collapsed="false">
      <c r="A2" s="0" t="s">
        <v>27</v>
      </c>
      <c r="B2" s="0" t="s">
        <v>28</v>
      </c>
      <c r="C2" s="0" t="n">
        <v>3</v>
      </c>
      <c r="D2" s="0" t="n">
        <v>37</v>
      </c>
      <c r="E2" s="0" t="n">
        <v>4884.4</v>
      </c>
      <c r="F2" s="0" t="n">
        <v>3</v>
      </c>
      <c r="G2" s="0" t="n">
        <v>34</v>
      </c>
      <c r="H2" s="0" t="n">
        <v>5380.2</v>
      </c>
    </row>
    <row r="3" customFormat="false" ht="15" hidden="false" customHeight="false" outlineLevel="0" collapsed="false">
      <c r="A3" s="0" t="s">
        <v>31</v>
      </c>
      <c r="B3" s="0" t="s">
        <v>32</v>
      </c>
      <c r="C3" s="0" t="n">
        <v>1</v>
      </c>
      <c r="D3" s="0" t="n">
        <v>88</v>
      </c>
      <c r="E3" s="0" t="n">
        <v>684.56</v>
      </c>
      <c r="F3" s="0" t="n">
        <v>1</v>
      </c>
      <c r="G3" s="0" t="n">
        <v>88</v>
      </c>
      <c r="H3" s="0" t="n">
        <v>692.9</v>
      </c>
    </row>
    <row r="4" customFormat="false" ht="15" hidden="false" customHeight="false" outlineLevel="0" collapsed="false">
      <c r="A4" s="0" t="s">
        <v>33</v>
      </c>
      <c r="B4" s="0" t="s">
        <v>34</v>
      </c>
      <c r="C4" s="0" t="n">
        <v>1</v>
      </c>
      <c r="D4" s="0" t="n">
        <v>49</v>
      </c>
      <c r="E4" s="0" t="n">
        <v>1229.41</v>
      </c>
      <c r="F4" s="0" t="n">
        <v>1</v>
      </c>
      <c r="G4" s="0" t="n">
        <v>57</v>
      </c>
      <c r="H4" s="0" t="n">
        <v>1069.75</v>
      </c>
    </row>
    <row r="5" customFormat="false" ht="15" hidden="false" customHeight="false" outlineLevel="0" collapsed="false">
      <c r="A5" s="0" t="s">
        <v>35</v>
      </c>
      <c r="B5" s="0" t="s">
        <v>36</v>
      </c>
      <c r="C5" s="0" t="n">
        <v>2</v>
      </c>
      <c r="D5" s="0" t="n">
        <v>104</v>
      </c>
      <c r="E5" s="0" t="n">
        <v>1158.48</v>
      </c>
      <c r="F5" s="0" t="n">
        <v>2</v>
      </c>
      <c r="G5" s="0" t="n">
        <v>112</v>
      </c>
      <c r="H5" s="0" t="n">
        <v>1088.85</v>
      </c>
    </row>
    <row r="6" customFormat="false" ht="15" hidden="false" customHeight="false" outlineLevel="0" collapsed="false">
      <c r="A6" s="0" t="s">
        <v>232</v>
      </c>
      <c r="B6" s="0" t="s">
        <v>233</v>
      </c>
      <c r="C6" s="0" t="n">
        <v>1</v>
      </c>
      <c r="D6" s="0" t="n">
        <v>1</v>
      </c>
      <c r="E6" s="0" t="n">
        <v>60240.96</v>
      </c>
      <c r="F6" s="0" t="n">
        <v>0</v>
      </c>
      <c r="G6" s="0" t="n">
        <v>0</v>
      </c>
      <c r="H6" s="0" t="n">
        <v>0</v>
      </c>
    </row>
    <row r="7" customFormat="false" ht="15" hidden="false" customHeight="false" outlineLevel="0" collapsed="false">
      <c r="A7" s="0" t="s">
        <v>45</v>
      </c>
      <c r="B7" s="0" t="s">
        <v>46</v>
      </c>
      <c r="C7" s="0" t="n">
        <v>1</v>
      </c>
      <c r="D7" s="0" t="n">
        <v>31</v>
      </c>
      <c r="E7" s="0" t="n">
        <v>1943.26</v>
      </c>
      <c r="F7" s="0" t="n">
        <v>1</v>
      </c>
      <c r="G7" s="0" t="n">
        <v>30</v>
      </c>
      <c r="H7" s="0" t="n">
        <v>2032.52</v>
      </c>
    </row>
    <row r="8" customFormat="false" ht="15" hidden="false" customHeight="false" outlineLevel="0" collapsed="false">
      <c r="A8" s="0" t="s">
        <v>61</v>
      </c>
      <c r="B8" s="0" t="s">
        <v>62</v>
      </c>
      <c r="C8" s="0" t="n">
        <v>1</v>
      </c>
      <c r="D8" s="0" t="n">
        <v>54</v>
      </c>
      <c r="E8" s="0" t="n">
        <v>1115.57</v>
      </c>
      <c r="F8" s="0" t="n">
        <v>1</v>
      </c>
      <c r="G8" s="0" t="n">
        <v>47</v>
      </c>
      <c r="H8" s="0" t="n">
        <v>1297.35</v>
      </c>
    </row>
    <row r="9" customFormat="false" ht="15" hidden="false" customHeight="false" outlineLevel="0" collapsed="false">
      <c r="A9" s="0" t="s">
        <v>75</v>
      </c>
      <c r="B9" s="0" t="s">
        <v>76</v>
      </c>
      <c r="C9" s="0" t="n">
        <v>1</v>
      </c>
      <c r="D9" s="0" t="n">
        <v>7</v>
      </c>
      <c r="E9" s="0" t="n">
        <v>8605.85</v>
      </c>
      <c r="F9" s="0" t="n">
        <v>1</v>
      </c>
      <c r="G9" s="0" t="n">
        <v>7</v>
      </c>
      <c r="H9" s="0" t="n">
        <v>8710.8</v>
      </c>
    </row>
    <row r="10" customFormat="false" ht="15" hidden="false" customHeight="false" outlineLevel="0" collapsed="false">
      <c r="A10" s="0" t="s">
        <v>89</v>
      </c>
      <c r="B10" s="0" t="s">
        <v>90</v>
      </c>
      <c r="C10" s="0" t="n">
        <v>2</v>
      </c>
      <c r="D10" s="0" t="n">
        <v>11</v>
      </c>
      <c r="E10" s="0" t="n">
        <v>10952.9</v>
      </c>
      <c r="F10" s="0" t="n">
        <v>1</v>
      </c>
      <c r="G10" s="0" t="n">
        <v>10</v>
      </c>
      <c r="H10" s="0" t="n">
        <v>6097.56</v>
      </c>
    </row>
    <row r="11" customFormat="false" ht="15" hidden="false" customHeight="false" outlineLevel="0" collapsed="false">
      <c r="A11" s="0" t="s">
        <v>93</v>
      </c>
      <c r="B11" s="0" t="s">
        <v>94</v>
      </c>
      <c r="C11" s="0" t="n">
        <v>1</v>
      </c>
      <c r="D11" s="0" t="n">
        <v>77</v>
      </c>
      <c r="E11" s="0" t="n">
        <v>782.35</v>
      </c>
      <c r="F11" s="0" t="n">
        <v>1</v>
      </c>
      <c r="G11" s="0" t="n">
        <v>81</v>
      </c>
      <c r="H11" s="0" t="n">
        <v>752.79</v>
      </c>
    </row>
    <row r="12" customFormat="false" ht="15" hidden="false" customHeight="false" outlineLevel="0" collapsed="false">
      <c r="A12" s="0" t="s">
        <v>101</v>
      </c>
      <c r="B12" s="0" t="s">
        <v>102</v>
      </c>
      <c r="C12" s="0" t="n">
        <v>1</v>
      </c>
      <c r="D12" s="0" t="n">
        <v>2</v>
      </c>
      <c r="E12" s="0" t="n">
        <v>30120.48</v>
      </c>
      <c r="F12" s="0" t="n">
        <v>1</v>
      </c>
      <c r="G12" s="0" t="n">
        <v>3</v>
      </c>
      <c r="H12" s="0" t="n">
        <v>20325.2</v>
      </c>
    </row>
    <row r="13" customFormat="false" ht="15" hidden="false" customHeight="false" outlineLevel="0" collapsed="false">
      <c r="A13" s="0" t="s">
        <v>105</v>
      </c>
      <c r="B13" s="0" t="s">
        <v>106</v>
      </c>
      <c r="C13" s="0" t="n">
        <v>1</v>
      </c>
      <c r="D13" s="0" t="n">
        <v>6</v>
      </c>
      <c r="E13" s="0" t="n">
        <v>10040.16</v>
      </c>
      <c r="F13" s="0" t="n">
        <v>1</v>
      </c>
      <c r="G13" s="0" t="n">
        <v>6</v>
      </c>
      <c r="H13" s="0" t="n">
        <v>10162.6</v>
      </c>
    </row>
    <row r="14" customFormat="false" ht="15" hidden="false" customHeight="false" outlineLevel="0" collapsed="false">
      <c r="A14" s="0" t="s">
        <v>113</v>
      </c>
      <c r="B14" s="0" t="s">
        <v>114</v>
      </c>
      <c r="C14" s="0" t="n">
        <v>2</v>
      </c>
      <c r="D14" s="0" t="n">
        <v>98</v>
      </c>
      <c r="E14" s="0" t="n">
        <v>1229.41</v>
      </c>
      <c r="F14" s="0" t="n">
        <v>3</v>
      </c>
      <c r="G14" s="0" t="n">
        <v>90</v>
      </c>
      <c r="H14" s="0" t="n">
        <v>2032.52</v>
      </c>
    </row>
    <row r="15" customFormat="false" ht="15" hidden="false" customHeight="false" outlineLevel="0" collapsed="false">
      <c r="A15" s="0" t="s">
        <v>121</v>
      </c>
      <c r="B15" s="0" t="s">
        <v>122</v>
      </c>
      <c r="C15" s="0" t="n">
        <v>1</v>
      </c>
      <c r="D15" s="0" t="n">
        <v>59</v>
      </c>
      <c r="E15" s="0" t="n">
        <v>1021.03</v>
      </c>
      <c r="F15" s="0" t="n">
        <v>1</v>
      </c>
      <c r="G15" s="0" t="n">
        <v>60</v>
      </c>
      <c r="H15" s="0" t="n">
        <v>1016.26</v>
      </c>
    </row>
    <row r="16" customFormat="false" ht="15" hidden="false" customHeight="false" outlineLevel="0" collapsed="false">
      <c r="A16" s="0" t="s">
        <v>123</v>
      </c>
      <c r="B16" s="0" t="s">
        <v>124</v>
      </c>
      <c r="C16" s="0" t="n">
        <v>2</v>
      </c>
      <c r="D16" s="0" t="n">
        <v>26</v>
      </c>
      <c r="E16" s="0" t="n">
        <v>4633.92</v>
      </c>
      <c r="F16" s="0" t="n">
        <v>2</v>
      </c>
      <c r="G16" s="0" t="n">
        <v>24</v>
      </c>
      <c r="H16" s="0" t="n">
        <v>5081.3</v>
      </c>
    </row>
    <row r="17" customFormat="false" ht="15" hidden="false" customHeight="false" outlineLevel="0" collapsed="false">
      <c r="A17" s="0" t="s">
        <v>133</v>
      </c>
      <c r="B17" s="0" t="s">
        <v>134</v>
      </c>
      <c r="C17" s="0" t="n">
        <v>1</v>
      </c>
      <c r="D17" s="0" t="n">
        <v>21</v>
      </c>
      <c r="E17" s="0" t="n">
        <v>2868.62</v>
      </c>
      <c r="F17" s="0" t="n">
        <v>1</v>
      </c>
      <c r="G17" s="0" t="n">
        <v>22</v>
      </c>
      <c r="H17" s="0" t="n">
        <v>2771.62</v>
      </c>
    </row>
    <row r="18" customFormat="false" ht="15" hidden="false" customHeight="false" outlineLevel="0" collapsed="false">
      <c r="A18" s="0" t="s">
        <v>167</v>
      </c>
      <c r="B18" s="0" t="s">
        <v>168</v>
      </c>
      <c r="C18" s="0" t="n">
        <v>2</v>
      </c>
      <c r="D18" s="0" t="n">
        <v>40</v>
      </c>
      <c r="E18" s="0" t="n">
        <v>3012.05</v>
      </c>
      <c r="F18" s="0" t="n">
        <v>2</v>
      </c>
      <c r="G18" s="0" t="n">
        <v>40</v>
      </c>
      <c r="H18" s="0" t="n">
        <v>3048.78</v>
      </c>
    </row>
    <row r="19" customFormat="false" ht="15" hidden="false" customHeight="false" outlineLevel="0" collapsed="false">
      <c r="A19" s="0" t="s">
        <v>177</v>
      </c>
      <c r="B19" s="0" t="s">
        <v>178</v>
      </c>
      <c r="C19" s="0" t="n">
        <v>2</v>
      </c>
      <c r="D19" s="0" t="n">
        <v>21</v>
      </c>
      <c r="E19" s="0" t="n">
        <v>5737.23</v>
      </c>
      <c r="F19" s="0" t="n">
        <v>2</v>
      </c>
      <c r="G19" s="0" t="n">
        <v>21</v>
      </c>
      <c r="H19" s="0" t="n">
        <v>5807.2</v>
      </c>
    </row>
    <row r="20" customFormat="false" ht="15" hidden="false" customHeight="false" outlineLevel="0" collapsed="false">
      <c r="A20" s="0" t="s">
        <v>204</v>
      </c>
      <c r="E20" s="0" t="n">
        <f aca="false">SUM(E2:E19)</f>
        <v>150260.64</v>
      </c>
      <c r="H20" s="0" t="n">
        <f aca="false">SUM(H2:H19)</f>
        <v>77368.2</v>
      </c>
    </row>
    <row r="22" customFormat="false" ht="15" hidden="false" customHeight="false" outlineLevel="0" collapsed="false">
      <c r="A22" s="0" t="s">
        <v>234</v>
      </c>
      <c r="B22" s="0" t="n">
        <v>144482</v>
      </c>
    </row>
    <row r="23" customFormat="false" ht="15" hidden="false" customHeight="false" outlineLevel="0" collapsed="false">
      <c r="A23" s="0" t="s">
        <v>235</v>
      </c>
      <c r="B23" s="0" t="n">
        <v>77368</v>
      </c>
    </row>
    <row r="24" customFormat="false" ht="15" hidden="false" customHeight="false" outlineLevel="0" collapsed="false">
      <c r="A24" s="0" t="s">
        <v>236</v>
      </c>
      <c r="B24" s="0" t="n">
        <v>-67114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8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" min="1" style="0" width="22"/>
  </cols>
  <sheetData>
    <row r="1" customFormat="false" ht="15" hidden="false" customHeight="false" outlineLevel="0" collapsed="false">
      <c r="A1" s="2" t="s">
        <v>11</v>
      </c>
      <c r="B1" s="2" t="s">
        <v>12</v>
      </c>
      <c r="C1" s="2" t="s">
        <v>237</v>
      </c>
      <c r="D1" s="2" t="s">
        <v>238</v>
      </c>
      <c r="E1" s="2" t="s">
        <v>239</v>
      </c>
      <c r="F1" s="2" t="s">
        <v>240</v>
      </c>
      <c r="G1" s="2" t="s">
        <v>241</v>
      </c>
      <c r="H1" s="2" t="s">
        <v>242</v>
      </c>
      <c r="I1" s="2" t="s">
        <v>243</v>
      </c>
      <c r="J1" s="2" t="s">
        <v>244</v>
      </c>
      <c r="K1" s="2" t="s">
        <v>245</v>
      </c>
      <c r="L1" s="2" t="s">
        <v>246</v>
      </c>
      <c r="M1" s="2" t="s">
        <v>247</v>
      </c>
      <c r="N1" s="2" t="s">
        <v>248</v>
      </c>
      <c r="O1" s="2" t="s">
        <v>249</v>
      </c>
      <c r="P1" s="2" t="s">
        <v>250</v>
      </c>
      <c r="Q1" s="2" t="s">
        <v>251</v>
      </c>
      <c r="R1" s="2" t="s">
        <v>252</v>
      </c>
      <c r="S1" s="2" t="s">
        <v>253</v>
      </c>
      <c r="T1" s="2" t="s">
        <v>254</v>
      </c>
      <c r="U1" s="2" t="s">
        <v>255</v>
      </c>
      <c r="V1" s="2" t="s">
        <v>256</v>
      </c>
      <c r="W1" s="2" t="s">
        <v>257</v>
      </c>
      <c r="X1" s="2" t="s">
        <v>258</v>
      </c>
      <c r="Y1" s="2" t="s">
        <v>259</v>
      </c>
      <c r="Z1" s="2" t="s">
        <v>260</v>
      </c>
      <c r="AA1" s="2" t="s">
        <v>261</v>
      </c>
      <c r="AB1" s="2" t="s">
        <v>262</v>
      </c>
      <c r="AC1" s="2" t="s">
        <v>263</v>
      </c>
      <c r="AD1" s="2" t="s">
        <v>264</v>
      </c>
    </row>
    <row r="2" customFormat="false" ht="15" hidden="false" customHeight="false" outlineLevel="0" collapsed="false">
      <c r="A2" s="0" t="s">
        <v>17</v>
      </c>
      <c r="B2" s="0" t="s">
        <v>18</v>
      </c>
      <c r="C2" s="0" t="n">
        <v>0</v>
      </c>
      <c r="D2" s="0" t="n">
        <v>0</v>
      </c>
      <c r="E2" s="0" t="n">
        <v>2</v>
      </c>
      <c r="F2" s="0" t="n">
        <v>2</v>
      </c>
      <c r="G2" s="0" t="n">
        <v>1</v>
      </c>
      <c r="H2" s="0" t="n">
        <v>1</v>
      </c>
      <c r="I2" s="0" t="n">
        <v>1</v>
      </c>
      <c r="J2" s="0" t="n">
        <v>1</v>
      </c>
      <c r="K2" s="0" t="n">
        <v>1</v>
      </c>
      <c r="L2" s="0" t="n">
        <v>2</v>
      </c>
      <c r="M2" s="0" t="n">
        <v>0</v>
      </c>
      <c r="N2" s="0" t="n">
        <v>0</v>
      </c>
      <c r="O2" s="0" t="n">
        <v>1</v>
      </c>
      <c r="P2" s="0" t="n">
        <f aca="false">SUM(C2:O2)</f>
        <v>12</v>
      </c>
      <c r="Q2" s="0" t="n">
        <v>0</v>
      </c>
      <c r="R2" s="0" t="n">
        <v>0</v>
      </c>
      <c r="S2" s="0" t="n">
        <v>2</v>
      </c>
      <c r="T2" s="0" t="n">
        <v>2</v>
      </c>
      <c r="U2" s="0" t="n">
        <v>1</v>
      </c>
      <c r="V2" s="0" t="n">
        <v>1</v>
      </c>
      <c r="W2" s="0" t="n">
        <v>1</v>
      </c>
      <c r="X2" s="0" t="n">
        <v>1</v>
      </c>
      <c r="Y2" s="0" t="n">
        <v>1</v>
      </c>
      <c r="Z2" s="0" t="n">
        <v>2</v>
      </c>
      <c r="AA2" s="0" t="n">
        <v>0</v>
      </c>
      <c r="AB2" s="0" t="n">
        <v>0</v>
      </c>
      <c r="AC2" s="0" t="n">
        <v>1</v>
      </c>
      <c r="AD2" s="0" t="n">
        <f aca="false">SUM(Q2:AC2)</f>
        <v>12</v>
      </c>
    </row>
    <row r="3" customFormat="false" ht="15" hidden="false" customHeight="false" outlineLevel="0" collapsed="false">
      <c r="A3" s="0" t="s">
        <v>19</v>
      </c>
      <c r="B3" s="0" t="s">
        <v>20</v>
      </c>
      <c r="C3" s="0" t="n">
        <v>0</v>
      </c>
      <c r="D3" s="0" t="n">
        <v>0</v>
      </c>
      <c r="E3" s="0" t="n">
        <v>3</v>
      </c>
      <c r="F3" s="0" t="n">
        <v>2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1</v>
      </c>
      <c r="M3" s="0" t="n">
        <v>0</v>
      </c>
      <c r="N3" s="0" t="n">
        <v>0</v>
      </c>
      <c r="O3" s="0" t="n">
        <v>0</v>
      </c>
      <c r="P3" s="0" t="n">
        <f aca="false">SUM(C3:O3)</f>
        <v>6</v>
      </c>
      <c r="Q3" s="0" t="n">
        <v>0</v>
      </c>
      <c r="R3" s="0" t="n">
        <v>0</v>
      </c>
      <c r="S3" s="0" t="n">
        <v>3</v>
      </c>
      <c r="T3" s="0" t="n">
        <v>2</v>
      </c>
      <c r="U3" s="0" t="n">
        <v>0</v>
      </c>
      <c r="V3" s="0" t="n">
        <v>0</v>
      </c>
      <c r="W3" s="0" t="n">
        <v>0</v>
      </c>
      <c r="X3" s="0" t="n">
        <v>0</v>
      </c>
      <c r="Y3" s="0" t="n">
        <v>1</v>
      </c>
      <c r="Z3" s="0" t="n">
        <v>1</v>
      </c>
      <c r="AA3" s="0" t="n">
        <v>0</v>
      </c>
      <c r="AB3" s="0" t="n">
        <v>0</v>
      </c>
      <c r="AC3" s="0" t="n">
        <v>0</v>
      </c>
      <c r="AD3" s="0" t="n">
        <f aca="false">SUM(Q3:AC3)</f>
        <v>7</v>
      </c>
    </row>
    <row r="4" customFormat="false" ht="15" hidden="false" customHeight="false" outlineLevel="0" collapsed="false">
      <c r="A4" s="0" t="s">
        <v>21</v>
      </c>
      <c r="B4" s="0" t="s">
        <v>22</v>
      </c>
      <c r="C4" s="0" t="n">
        <v>0</v>
      </c>
      <c r="D4" s="0" t="n">
        <v>0</v>
      </c>
      <c r="E4" s="0" t="n">
        <v>2</v>
      </c>
      <c r="F4" s="0" t="n">
        <v>1</v>
      </c>
      <c r="G4" s="0" t="n">
        <v>0</v>
      </c>
      <c r="H4" s="0" t="n">
        <v>3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1</v>
      </c>
      <c r="P4" s="0" t="n">
        <f aca="false">SUM(C4:O4)</f>
        <v>7</v>
      </c>
      <c r="Q4" s="0" t="n">
        <v>0</v>
      </c>
      <c r="R4" s="0" t="n">
        <v>0</v>
      </c>
      <c r="S4" s="0" t="n">
        <v>2</v>
      </c>
      <c r="T4" s="0" t="n">
        <v>1</v>
      </c>
      <c r="U4" s="0" t="n">
        <v>0</v>
      </c>
      <c r="V4" s="0" t="n">
        <v>3</v>
      </c>
      <c r="W4" s="0" t="n">
        <v>0</v>
      </c>
      <c r="X4" s="0" t="n">
        <v>0</v>
      </c>
      <c r="Y4" s="0" t="n">
        <v>0</v>
      </c>
      <c r="Z4" s="0" t="n">
        <v>0</v>
      </c>
      <c r="AA4" s="0" t="n">
        <v>0</v>
      </c>
      <c r="AB4" s="0" t="n">
        <v>0</v>
      </c>
      <c r="AC4" s="0" t="n">
        <v>1</v>
      </c>
      <c r="AD4" s="0" t="n">
        <f aca="false">SUM(Q4:AC4)</f>
        <v>7</v>
      </c>
    </row>
    <row r="5" customFormat="false" ht="15" hidden="false" customHeight="false" outlineLevel="0" collapsed="false">
      <c r="A5" s="0" t="s">
        <v>23</v>
      </c>
      <c r="B5" s="0" t="s">
        <v>24</v>
      </c>
      <c r="C5" s="0" t="n">
        <v>1</v>
      </c>
      <c r="D5" s="0" t="n">
        <v>0</v>
      </c>
      <c r="E5" s="0" t="n">
        <v>16</v>
      </c>
      <c r="F5" s="0" t="n">
        <v>4</v>
      </c>
      <c r="G5" s="0" t="n">
        <v>0</v>
      </c>
      <c r="H5" s="0" t="n">
        <v>2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1</v>
      </c>
      <c r="N5" s="0" t="n">
        <v>0</v>
      </c>
      <c r="O5" s="0" t="n">
        <v>0</v>
      </c>
      <c r="P5" s="0" t="n">
        <f aca="false">SUM(C5:O5)</f>
        <v>24</v>
      </c>
      <c r="Q5" s="0" t="n">
        <v>1</v>
      </c>
      <c r="R5" s="0" t="n">
        <v>0</v>
      </c>
      <c r="S5" s="0" t="n">
        <v>15</v>
      </c>
      <c r="T5" s="0" t="n">
        <v>5</v>
      </c>
      <c r="U5" s="0" t="n">
        <v>0</v>
      </c>
      <c r="V5" s="0" t="n">
        <v>2</v>
      </c>
      <c r="W5" s="0" t="n">
        <v>0</v>
      </c>
      <c r="X5" s="0" t="n">
        <v>0</v>
      </c>
      <c r="Y5" s="0" t="n">
        <v>0</v>
      </c>
      <c r="Z5" s="0" t="n">
        <v>0</v>
      </c>
      <c r="AA5" s="0" t="n">
        <v>1</v>
      </c>
      <c r="AB5" s="0" t="n">
        <v>0</v>
      </c>
      <c r="AC5" s="0" t="n">
        <v>0</v>
      </c>
      <c r="AD5" s="0" t="n">
        <f aca="false">SUM(Q5:AC5)</f>
        <v>24</v>
      </c>
    </row>
    <row r="6" customFormat="false" ht="15" hidden="false" customHeight="false" outlineLevel="0" collapsed="false">
      <c r="A6" s="0" t="s">
        <v>25</v>
      </c>
      <c r="B6" s="0" t="s">
        <v>26</v>
      </c>
      <c r="C6" s="0" t="n">
        <v>0</v>
      </c>
      <c r="D6" s="0" t="n">
        <v>0</v>
      </c>
      <c r="E6" s="0" t="n">
        <v>7</v>
      </c>
      <c r="F6" s="0" t="n">
        <v>1</v>
      </c>
      <c r="G6" s="0" t="n">
        <v>0</v>
      </c>
      <c r="H6" s="0" t="n">
        <v>0</v>
      </c>
      <c r="I6" s="0" t="n">
        <v>1</v>
      </c>
      <c r="J6" s="0" t="n">
        <v>0</v>
      </c>
      <c r="K6" s="0" t="n">
        <v>1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f aca="false">SUM(C6:O6)</f>
        <v>10</v>
      </c>
      <c r="Q6" s="0" t="n">
        <v>0</v>
      </c>
      <c r="R6" s="0" t="n">
        <v>0</v>
      </c>
      <c r="S6" s="0" t="n">
        <v>7</v>
      </c>
      <c r="T6" s="0" t="n">
        <v>1</v>
      </c>
      <c r="U6" s="0" t="n">
        <v>0</v>
      </c>
      <c r="V6" s="0" t="n">
        <v>0</v>
      </c>
      <c r="W6" s="0" t="n">
        <v>0</v>
      </c>
      <c r="X6" s="0" t="n">
        <v>0</v>
      </c>
      <c r="Y6" s="0" t="n">
        <v>2</v>
      </c>
      <c r="Z6" s="0" t="n">
        <v>0</v>
      </c>
      <c r="AA6" s="0" t="n">
        <v>0</v>
      </c>
      <c r="AB6" s="0" t="n">
        <v>0</v>
      </c>
      <c r="AC6" s="0" t="n">
        <v>0</v>
      </c>
      <c r="AD6" s="0" t="n">
        <f aca="false">SUM(Q6:AC6)</f>
        <v>10</v>
      </c>
    </row>
    <row r="7" customFormat="false" ht="15" hidden="false" customHeight="false" outlineLevel="0" collapsed="false">
      <c r="A7" s="0" t="s">
        <v>27</v>
      </c>
      <c r="B7" s="0" t="s">
        <v>28</v>
      </c>
      <c r="C7" s="0" t="n">
        <v>0</v>
      </c>
      <c r="D7" s="0" t="n">
        <v>0</v>
      </c>
      <c r="E7" s="0" t="n">
        <v>14</v>
      </c>
      <c r="F7" s="0" t="n">
        <v>3</v>
      </c>
      <c r="G7" s="0" t="n">
        <v>0</v>
      </c>
      <c r="H7" s="0" t="n">
        <v>3</v>
      </c>
      <c r="I7" s="0" t="n">
        <v>3</v>
      </c>
      <c r="J7" s="0" t="n">
        <v>1</v>
      </c>
      <c r="K7" s="0" t="n">
        <v>0</v>
      </c>
      <c r="L7" s="0" t="n">
        <v>3</v>
      </c>
      <c r="M7" s="0" t="n">
        <v>0</v>
      </c>
      <c r="N7" s="0" t="n">
        <v>3</v>
      </c>
      <c r="O7" s="0" t="n">
        <v>4</v>
      </c>
      <c r="P7" s="0" t="n">
        <f aca="false">SUM(C7:O7)</f>
        <v>34</v>
      </c>
      <c r="Q7" s="0" t="n">
        <v>0</v>
      </c>
      <c r="R7" s="0" t="n">
        <v>0</v>
      </c>
      <c r="S7" s="0" t="n">
        <v>17</v>
      </c>
      <c r="T7" s="0" t="n">
        <v>3</v>
      </c>
      <c r="U7" s="0" t="n">
        <v>0</v>
      </c>
      <c r="V7" s="0" t="n">
        <v>3</v>
      </c>
      <c r="W7" s="0" t="n">
        <v>4</v>
      </c>
      <c r="X7" s="0" t="n">
        <v>1</v>
      </c>
      <c r="Y7" s="0" t="n">
        <v>0</v>
      </c>
      <c r="Z7" s="0" t="n">
        <v>2</v>
      </c>
      <c r="AA7" s="0" t="n">
        <v>0</v>
      </c>
      <c r="AB7" s="0" t="n">
        <v>4</v>
      </c>
      <c r="AC7" s="0" t="n">
        <v>4</v>
      </c>
      <c r="AD7" s="0" t="n">
        <f aca="false">SUM(Q7:AC7)</f>
        <v>38</v>
      </c>
    </row>
    <row r="8" customFormat="false" ht="15" hidden="false" customHeight="false" outlineLevel="0" collapsed="false">
      <c r="A8" s="0" t="s">
        <v>29</v>
      </c>
      <c r="B8" s="0" t="s">
        <v>30</v>
      </c>
      <c r="C8" s="0" t="n">
        <v>0</v>
      </c>
      <c r="D8" s="0" t="n">
        <v>0</v>
      </c>
      <c r="E8" s="0" t="n">
        <v>4</v>
      </c>
      <c r="F8" s="0" t="n">
        <v>0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1</v>
      </c>
      <c r="M8" s="0" t="n">
        <v>0</v>
      </c>
      <c r="N8" s="0" t="n">
        <v>0</v>
      </c>
      <c r="O8" s="0" t="n">
        <v>0</v>
      </c>
      <c r="P8" s="0" t="n">
        <f aca="false">SUM(C8:O8)</f>
        <v>5</v>
      </c>
      <c r="Q8" s="0" t="n">
        <v>0</v>
      </c>
      <c r="R8" s="0" t="n">
        <v>0</v>
      </c>
      <c r="S8" s="0" t="n">
        <v>3</v>
      </c>
      <c r="T8" s="0" t="n">
        <v>0</v>
      </c>
      <c r="U8" s="0" t="n">
        <v>0</v>
      </c>
      <c r="V8" s="0" t="n">
        <v>0</v>
      </c>
      <c r="W8" s="0" t="n">
        <v>0</v>
      </c>
      <c r="X8" s="0" t="n">
        <v>0</v>
      </c>
      <c r="Y8" s="0" t="n">
        <v>0</v>
      </c>
      <c r="Z8" s="0" t="n">
        <v>1</v>
      </c>
      <c r="AA8" s="0" t="n">
        <v>0</v>
      </c>
      <c r="AB8" s="0" t="n">
        <v>0</v>
      </c>
      <c r="AC8" s="0" t="n">
        <v>0</v>
      </c>
      <c r="AD8" s="0" t="n">
        <f aca="false">SUM(Q8:AC8)</f>
        <v>4</v>
      </c>
    </row>
    <row r="9" customFormat="false" ht="15" hidden="false" customHeight="false" outlineLevel="0" collapsed="false">
      <c r="A9" s="0" t="s">
        <v>31</v>
      </c>
      <c r="B9" s="0" t="s">
        <v>32</v>
      </c>
      <c r="C9" s="0" t="n">
        <v>0</v>
      </c>
      <c r="D9" s="0" t="n">
        <v>0</v>
      </c>
      <c r="E9" s="0" t="n">
        <v>74</v>
      </c>
      <c r="F9" s="0" t="n">
        <v>5</v>
      </c>
      <c r="G9" s="0" t="n">
        <v>0</v>
      </c>
      <c r="H9" s="0" t="n">
        <v>1</v>
      </c>
      <c r="I9" s="0" t="n">
        <v>2</v>
      </c>
      <c r="J9" s="0" t="n">
        <v>0</v>
      </c>
      <c r="K9" s="0" t="n">
        <v>2</v>
      </c>
      <c r="L9" s="0" t="n">
        <v>2</v>
      </c>
      <c r="M9" s="0" t="n">
        <v>0</v>
      </c>
      <c r="N9" s="0" t="n">
        <v>1</v>
      </c>
      <c r="O9" s="0" t="n">
        <v>1</v>
      </c>
      <c r="P9" s="0" t="n">
        <f aca="false">SUM(C9:O9)</f>
        <v>88</v>
      </c>
      <c r="Q9" s="0" t="n">
        <v>0</v>
      </c>
      <c r="R9" s="0" t="n">
        <v>0</v>
      </c>
      <c r="S9" s="0" t="n">
        <v>75</v>
      </c>
      <c r="T9" s="0" t="n">
        <v>4</v>
      </c>
      <c r="U9" s="0" t="n">
        <v>0</v>
      </c>
      <c r="V9" s="0" t="n">
        <v>1</v>
      </c>
      <c r="W9" s="0" t="n">
        <v>2</v>
      </c>
      <c r="X9" s="0" t="n">
        <v>0</v>
      </c>
      <c r="Y9" s="0" t="n">
        <v>2</v>
      </c>
      <c r="Z9" s="0" t="n">
        <v>2</v>
      </c>
      <c r="AA9" s="0" t="n">
        <v>0</v>
      </c>
      <c r="AB9" s="0" t="n">
        <v>1</v>
      </c>
      <c r="AC9" s="0" t="n">
        <v>2</v>
      </c>
      <c r="AD9" s="0" t="n">
        <f aca="false">SUM(Q9:AC9)</f>
        <v>89</v>
      </c>
    </row>
    <row r="10" customFormat="false" ht="15" hidden="false" customHeight="false" outlineLevel="0" collapsed="false">
      <c r="A10" s="0" t="s">
        <v>33</v>
      </c>
      <c r="B10" s="0" t="s">
        <v>34</v>
      </c>
      <c r="C10" s="0" t="n">
        <v>0</v>
      </c>
      <c r="D10" s="0" t="n">
        <v>0</v>
      </c>
      <c r="E10" s="0" t="n">
        <v>48</v>
      </c>
      <c r="F10" s="0" t="n">
        <v>4</v>
      </c>
      <c r="G10" s="0" t="n">
        <v>0</v>
      </c>
      <c r="H10" s="0" t="n">
        <v>1</v>
      </c>
      <c r="I10" s="0" t="n">
        <v>2</v>
      </c>
      <c r="J10" s="0" t="n">
        <v>0</v>
      </c>
      <c r="K10" s="0" t="n">
        <v>1</v>
      </c>
      <c r="L10" s="0" t="n">
        <v>0</v>
      </c>
      <c r="M10" s="0" t="n">
        <v>0</v>
      </c>
      <c r="N10" s="0" t="n">
        <v>1</v>
      </c>
      <c r="O10" s="0" t="n">
        <v>0</v>
      </c>
      <c r="P10" s="0" t="n">
        <f aca="false">SUM(C10:O10)</f>
        <v>57</v>
      </c>
      <c r="Q10" s="0" t="n">
        <v>0</v>
      </c>
      <c r="R10" s="0" t="n">
        <v>0</v>
      </c>
      <c r="S10" s="0" t="n">
        <v>51</v>
      </c>
      <c r="T10" s="0" t="n">
        <v>4</v>
      </c>
      <c r="U10" s="0" t="n">
        <v>0</v>
      </c>
      <c r="V10" s="0" t="n">
        <v>1</v>
      </c>
      <c r="W10" s="0" t="n">
        <v>2</v>
      </c>
      <c r="X10" s="0" t="n">
        <v>0</v>
      </c>
      <c r="Y10" s="0" t="n">
        <v>1</v>
      </c>
      <c r="Z10" s="0" t="n">
        <v>1</v>
      </c>
      <c r="AA10" s="0" t="n">
        <v>0</v>
      </c>
      <c r="AB10" s="0" t="n">
        <v>1</v>
      </c>
      <c r="AC10" s="0" t="n">
        <v>0</v>
      </c>
      <c r="AD10" s="0" t="n">
        <f aca="false">SUM(Q10:AC10)</f>
        <v>61</v>
      </c>
    </row>
    <row r="11" customFormat="false" ht="15" hidden="false" customHeight="false" outlineLevel="0" collapsed="false">
      <c r="A11" s="0" t="s">
        <v>35</v>
      </c>
      <c r="B11" s="0" t="s">
        <v>36</v>
      </c>
      <c r="C11" s="0" t="n">
        <v>0</v>
      </c>
      <c r="D11" s="0" t="n">
        <v>0</v>
      </c>
      <c r="E11" s="0" t="n">
        <v>48</v>
      </c>
      <c r="F11" s="0" t="n">
        <v>6</v>
      </c>
      <c r="G11" s="0" t="n">
        <v>0</v>
      </c>
      <c r="H11" s="0" t="n">
        <v>37</v>
      </c>
      <c r="I11" s="0" t="n">
        <v>7</v>
      </c>
      <c r="J11" s="0" t="n">
        <v>0</v>
      </c>
      <c r="K11" s="0" t="n">
        <v>6</v>
      </c>
      <c r="L11" s="0" t="n">
        <v>5</v>
      </c>
      <c r="M11" s="0" t="n">
        <v>0</v>
      </c>
      <c r="N11" s="0" t="n">
        <v>2</v>
      </c>
      <c r="O11" s="0" t="n">
        <v>1</v>
      </c>
      <c r="P11" s="0" t="n">
        <f aca="false">SUM(C11:O11)</f>
        <v>112</v>
      </c>
      <c r="Q11" s="0" t="n">
        <v>0</v>
      </c>
      <c r="R11" s="0" t="n">
        <v>0</v>
      </c>
      <c r="S11" s="0" t="n">
        <v>42</v>
      </c>
      <c r="T11" s="0" t="n">
        <v>8</v>
      </c>
      <c r="U11" s="0" t="n">
        <v>0</v>
      </c>
      <c r="V11" s="0" t="n">
        <v>35</v>
      </c>
      <c r="W11" s="0" t="n">
        <v>7</v>
      </c>
      <c r="X11" s="0" t="n">
        <v>0</v>
      </c>
      <c r="Y11" s="0" t="n">
        <v>6</v>
      </c>
      <c r="Z11" s="0" t="n">
        <v>5</v>
      </c>
      <c r="AA11" s="0" t="n">
        <v>0</v>
      </c>
      <c r="AB11" s="0" t="n">
        <v>2</v>
      </c>
      <c r="AC11" s="0" t="n">
        <v>1</v>
      </c>
      <c r="AD11" s="0" t="n">
        <f aca="false">SUM(Q11:AC11)</f>
        <v>106</v>
      </c>
    </row>
    <row r="12" customFormat="false" ht="15" hidden="false" customHeight="false" outlineLevel="0" collapsed="false">
      <c r="A12" s="0" t="s">
        <v>37</v>
      </c>
      <c r="B12" s="0" t="s">
        <v>38</v>
      </c>
      <c r="C12" s="0" t="n">
        <v>0</v>
      </c>
      <c r="D12" s="0" t="n">
        <v>0</v>
      </c>
      <c r="E12" s="0" t="n">
        <v>0</v>
      </c>
      <c r="F12" s="0" t="n">
        <v>1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f aca="false">SUM(C12:O12)</f>
        <v>1</v>
      </c>
      <c r="Q12" s="0" t="n">
        <v>0</v>
      </c>
      <c r="R12" s="0" t="n">
        <v>0</v>
      </c>
      <c r="S12" s="0" t="n">
        <v>0</v>
      </c>
      <c r="T12" s="0" t="n">
        <v>1</v>
      </c>
      <c r="U12" s="0" t="n">
        <v>0</v>
      </c>
      <c r="V12" s="0" t="n">
        <v>0</v>
      </c>
      <c r="W12" s="0" t="n">
        <v>0</v>
      </c>
      <c r="X12" s="0" t="n">
        <v>0</v>
      </c>
      <c r="Y12" s="0" t="n">
        <v>0</v>
      </c>
      <c r="Z12" s="0" t="n">
        <v>0</v>
      </c>
      <c r="AA12" s="0" t="n">
        <v>0</v>
      </c>
      <c r="AB12" s="0" t="n">
        <v>0</v>
      </c>
      <c r="AC12" s="0" t="n">
        <v>0</v>
      </c>
      <c r="AD12" s="0" t="n">
        <f aca="false">SUM(Q12:AC12)</f>
        <v>1</v>
      </c>
    </row>
    <row r="13" customFormat="false" ht="15" hidden="false" customHeight="false" outlineLevel="0" collapsed="false">
      <c r="A13" s="0" t="s">
        <v>39</v>
      </c>
      <c r="B13" s="0" t="s">
        <v>40</v>
      </c>
      <c r="C13" s="0" t="n">
        <v>0</v>
      </c>
      <c r="D13" s="0" t="n">
        <v>0</v>
      </c>
      <c r="E13" s="0" t="n">
        <v>2</v>
      </c>
      <c r="F13" s="0" t="n">
        <v>1</v>
      </c>
      <c r="G13" s="0" t="n">
        <v>0</v>
      </c>
      <c r="H13" s="0" t="n">
        <v>1</v>
      </c>
      <c r="I13" s="0" t="n">
        <v>2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f aca="false">SUM(C13:O13)</f>
        <v>6</v>
      </c>
      <c r="Q13" s="0" t="n">
        <v>0</v>
      </c>
      <c r="R13" s="0" t="n">
        <v>0</v>
      </c>
      <c r="S13" s="0" t="n">
        <v>2</v>
      </c>
      <c r="T13" s="0" t="n">
        <v>1</v>
      </c>
      <c r="U13" s="0" t="n">
        <v>0</v>
      </c>
      <c r="V13" s="0" t="n">
        <v>1</v>
      </c>
      <c r="W13" s="0" t="n">
        <v>3</v>
      </c>
      <c r="X13" s="0" t="n">
        <v>0</v>
      </c>
      <c r="Y13" s="0" t="n">
        <v>0</v>
      </c>
      <c r="Z13" s="0" t="n">
        <v>0</v>
      </c>
      <c r="AA13" s="0" t="n">
        <v>0</v>
      </c>
      <c r="AB13" s="0" t="n">
        <v>0</v>
      </c>
      <c r="AC13" s="0" t="n">
        <v>0</v>
      </c>
      <c r="AD13" s="0" t="n">
        <f aca="false">SUM(Q13:AC13)</f>
        <v>7</v>
      </c>
    </row>
    <row r="14" customFormat="false" ht="15" hidden="false" customHeight="false" outlineLevel="0" collapsed="false">
      <c r="A14" s="0" t="s">
        <v>41</v>
      </c>
      <c r="B14" s="0" t="s">
        <v>42</v>
      </c>
      <c r="C14" s="0" t="n">
        <v>0</v>
      </c>
      <c r="D14" s="0" t="n">
        <v>0</v>
      </c>
      <c r="E14" s="0" t="n">
        <v>6</v>
      </c>
      <c r="F14" s="0" t="n">
        <v>1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f aca="false">SUM(C14:O14)</f>
        <v>7</v>
      </c>
      <c r="Q14" s="0" t="n">
        <v>0</v>
      </c>
      <c r="R14" s="0" t="n">
        <v>0</v>
      </c>
      <c r="S14" s="0" t="n">
        <v>6</v>
      </c>
      <c r="T14" s="0" t="n">
        <v>1</v>
      </c>
      <c r="U14" s="0" t="n">
        <v>0</v>
      </c>
      <c r="V14" s="0" t="n">
        <v>0</v>
      </c>
      <c r="W14" s="0" t="n">
        <v>0</v>
      </c>
      <c r="X14" s="0" t="n">
        <v>0</v>
      </c>
      <c r="Y14" s="0" t="n">
        <v>0</v>
      </c>
      <c r="Z14" s="0" t="n">
        <v>0</v>
      </c>
      <c r="AA14" s="0" t="n">
        <v>0</v>
      </c>
      <c r="AB14" s="0" t="n">
        <v>0</v>
      </c>
      <c r="AC14" s="0" t="n">
        <v>0</v>
      </c>
      <c r="AD14" s="0" t="n">
        <f aca="false">SUM(Q14:AC14)</f>
        <v>7</v>
      </c>
    </row>
    <row r="15" customFormat="false" ht="15" hidden="false" customHeight="false" outlineLevel="0" collapsed="false">
      <c r="A15" s="0" t="s">
        <v>43</v>
      </c>
      <c r="B15" s="0" t="s">
        <v>44</v>
      </c>
      <c r="C15" s="0" t="n">
        <v>0</v>
      </c>
      <c r="D15" s="0" t="n">
        <v>0</v>
      </c>
      <c r="E15" s="0" t="n">
        <v>2</v>
      </c>
      <c r="F15" s="0" t="n">
        <v>0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f aca="false">SUM(C15:O15)</f>
        <v>2</v>
      </c>
      <c r="Q15" s="0" t="n">
        <v>0</v>
      </c>
      <c r="R15" s="0" t="n">
        <v>0</v>
      </c>
      <c r="S15" s="0" t="n">
        <v>2</v>
      </c>
      <c r="T15" s="0" t="n">
        <v>1</v>
      </c>
      <c r="U15" s="0" t="n">
        <v>0</v>
      </c>
      <c r="V15" s="0" t="n">
        <v>0</v>
      </c>
      <c r="W15" s="0" t="n">
        <v>0</v>
      </c>
      <c r="X15" s="0" t="n">
        <v>0</v>
      </c>
      <c r="Y15" s="0" t="n">
        <v>0</v>
      </c>
      <c r="Z15" s="0" t="n">
        <v>0</v>
      </c>
      <c r="AA15" s="0" t="n">
        <v>0</v>
      </c>
      <c r="AB15" s="0" t="n">
        <v>0</v>
      </c>
      <c r="AC15" s="0" t="n">
        <v>0</v>
      </c>
      <c r="AD15" s="0" t="n">
        <f aca="false">SUM(Q15:AC15)</f>
        <v>3</v>
      </c>
    </row>
    <row r="16" customFormat="false" ht="15" hidden="false" customHeight="false" outlineLevel="0" collapsed="false">
      <c r="A16" s="0" t="s">
        <v>45</v>
      </c>
      <c r="B16" s="0" t="s">
        <v>46</v>
      </c>
      <c r="C16" s="0" t="n">
        <v>2</v>
      </c>
      <c r="D16" s="0" t="n">
        <v>1</v>
      </c>
      <c r="E16" s="0" t="n">
        <v>20</v>
      </c>
      <c r="F16" s="0" t="n">
        <v>1</v>
      </c>
      <c r="G16" s="0" t="n">
        <v>0</v>
      </c>
      <c r="H16" s="0" t="n">
        <v>0</v>
      </c>
      <c r="I16" s="0" t="n">
        <v>2</v>
      </c>
      <c r="J16" s="0" t="n">
        <v>0</v>
      </c>
      <c r="K16" s="0" t="n">
        <v>2</v>
      </c>
      <c r="L16" s="0" t="n">
        <v>0</v>
      </c>
      <c r="M16" s="0" t="n">
        <v>0</v>
      </c>
      <c r="N16" s="0" t="n">
        <v>1</v>
      </c>
      <c r="O16" s="0" t="n">
        <v>1</v>
      </c>
      <c r="P16" s="0" t="n">
        <f aca="false">SUM(C16:O16)</f>
        <v>30</v>
      </c>
      <c r="Q16" s="0" t="n">
        <v>2</v>
      </c>
      <c r="R16" s="0" t="n">
        <v>1</v>
      </c>
      <c r="S16" s="0" t="n">
        <v>20</v>
      </c>
      <c r="T16" s="0" t="n">
        <v>2</v>
      </c>
      <c r="U16" s="0" t="n">
        <v>0</v>
      </c>
      <c r="V16" s="0" t="n">
        <v>0</v>
      </c>
      <c r="W16" s="0" t="n">
        <v>2</v>
      </c>
      <c r="X16" s="0" t="n">
        <v>0</v>
      </c>
      <c r="Y16" s="0" t="n">
        <v>2</v>
      </c>
      <c r="Z16" s="0" t="n">
        <v>0</v>
      </c>
      <c r="AA16" s="0" t="n">
        <v>0</v>
      </c>
      <c r="AB16" s="0" t="n">
        <v>1</v>
      </c>
      <c r="AC16" s="0" t="n">
        <v>1</v>
      </c>
      <c r="AD16" s="0" t="n">
        <f aca="false">SUM(Q16:AC16)</f>
        <v>31</v>
      </c>
    </row>
    <row r="17" customFormat="false" ht="15" hidden="false" customHeight="false" outlineLevel="0" collapsed="false">
      <c r="A17" s="0" t="s">
        <v>47</v>
      </c>
      <c r="B17" s="0" t="s">
        <v>48</v>
      </c>
      <c r="C17" s="0" t="n">
        <v>0</v>
      </c>
      <c r="D17" s="0" t="n">
        <v>0</v>
      </c>
      <c r="E17" s="0" t="n">
        <v>16</v>
      </c>
      <c r="F17" s="0" t="n">
        <v>1</v>
      </c>
      <c r="G17" s="0" t="n">
        <v>0</v>
      </c>
      <c r="H17" s="0" t="n">
        <v>0</v>
      </c>
      <c r="I17" s="0" t="n">
        <v>1</v>
      </c>
      <c r="J17" s="0" t="n">
        <v>0</v>
      </c>
      <c r="K17" s="0" t="n">
        <v>1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f aca="false">SUM(C17:O17)</f>
        <v>19</v>
      </c>
      <c r="Q17" s="0" t="n">
        <v>0</v>
      </c>
      <c r="R17" s="0" t="n">
        <v>0</v>
      </c>
      <c r="S17" s="0" t="n">
        <v>14</v>
      </c>
      <c r="T17" s="0" t="n">
        <v>2</v>
      </c>
      <c r="U17" s="0" t="n">
        <v>0</v>
      </c>
      <c r="V17" s="0" t="n">
        <v>0</v>
      </c>
      <c r="W17" s="0" t="n">
        <v>1</v>
      </c>
      <c r="X17" s="0" t="n">
        <v>0</v>
      </c>
      <c r="Y17" s="0" t="n">
        <v>1</v>
      </c>
      <c r="Z17" s="0" t="n">
        <v>0</v>
      </c>
      <c r="AA17" s="0" t="n">
        <v>0</v>
      </c>
      <c r="AB17" s="0" t="n">
        <v>0</v>
      </c>
      <c r="AC17" s="0" t="n">
        <v>0</v>
      </c>
      <c r="AD17" s="0" t="n">
        <f aca="false">SUM(Q17:AC17)</f>
        <v>18</v>
      </c>
    </row>
    <row r="18" customFormat="false" ht="15" hidden="false" customHeight="false" outlineLevel="0" collapsed="false">
      <c r="A18" s="0" t="s">
        <v>49</v>
      </c>
      <c r="B18" s="0" t="s">
        <v>50</v>
      </c>
      <c r="C18" s="0" t="n">
        <v>0</v>
      </c>
      <c r="D18" s="0" t="n">
        <v>0</v>
      </c>
      <c r="E18" s="0" t="n">
        <v>1</v>
      </c>
      <c r="F18" s="0" t="n">
        <v>0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f aca="false">SUM(C18:O18)</f>
        <v>1</v>
      </c>
      <c r="Q18" s="0" t="n">
        <v>0</v>
      </c>
      <c r="R18" s="0" t="n">
        <v>0</v>
      </c>
      <c r="S18" s="0" t="n">
        <v>1</v>
      </c>
      <c r="T18" s="0" t="n">
        <v>0</v>
      </c>
      <c r="U18" s="0" t="n">
        <v>0</v>
      </c>
      <c r="V18" s="0" t="n">
        <v>0</v>
      </c>
      <c r="W18" s="0" t="n">
        <v>0</v>
      </c>
      <c r="X18" s="0" t="n">
        <v>0</v>
      </c>
      <c r="Y18" s="0" t="n">
        <v>0</v>
      </c>
      <c r="Z18" s="0" t="n">
        <v>0</v>
      </c>
      <c r="AA18" s="0" t="n">
        <v>0</v>
      </c>
      <c r="AB18" s="0" t="n">
        <v>0</v>
      </c>
      <c r="AC18" s="0" t="n">
        <v>0</v>
      </c>
      <c r="AD18" s="0" t="n">
        <f aca="false">SUM(Q18:AC18)</f>
        <v>1</v>
      </c>
    </row>
    <row r="19" customFormat="false" ht="15" hidden="false" customHeight="false" outlineLevel="0" collapsed="false">
      <c r="A19" s="0" t="s">
        <v>51</v>
      </c>
      <c r="B19" s="0" t="s">
        <v>52</v>
      </c>
      <c r="C19" s="0" t="n">
        <v>0</v>
      </c>
      <c r="D19" s="0" t="n">
        <v>0</v>
      </c>
      <c r="E19" s="0" t="n">
        <v>1</v>
      </c>
      <c r="F19" s="0" t="n">
        <v>1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1</v>
      </c>
      <c r="M19" s="0" t="n">
        <v>0</v>
      </c>
      <c r="N19" s="0" t="n">
        <v>0</v>
      </c>
      <c r="O19" s="0" t="n">
        <v>0</v>
      </c>
      <c r="P19" s="0" t="n">
        <f aca="false">SUM(C19:O19)</f>
        <v>3</v>
      </c>
      <c r="Q19" s="0" t="n">
        <v>0</v>
      </c>
      <c r="R19" s="0" t="n">
        <v>0</v>
      </c>
      <c r="S19" s="0" t="n">
        <v>1</v>
      </c>
      <c r="T19" s="0" t="n">
        <v>1</v>
      </c>
      <c r="U19" s="0" t="n">
        <v>0</v>
      </c>
      <c r="V19" s="0" t="n">
        <v>0</v>
      </c>
      <c r="W19" s="0" t="n">
        <v>0</v>
      </c>
      <c r="X19" s="0" t="n">
        <v>0</v>
      </c>
      <c r="Y19" s="0" t="n">
        <v>0</v>
      </c>
      <c r="Z19" s="0" t="n">
        <v>1</v>
      </c>
      <c r="AA19" s="0" t="n">
        <v>0</v>
      </c>
      <c r="AB19" s="0" t="n">
        <v>0</v>
      </c>
      <c r="AC19" s="0" t="n">
        <v>0</v>
      </c>
      <c r="AD19" s="0" t="n">
        <f aca="false">SUM(Q19:AC19)</f>
        <v>3</v>
      </c>
    </row>
    <row r="20" customFormat="false" ht="15" hidden="false" customHeight="false" outlineLevel="0" collapsed="false">
      <c r="A20" s="0" t="s">
        <v>53</v>
      </c>
      <c r="B20" s="0" t="s">
        <v>54</v>
      </c>
      <c r="C20" s="0" t="n">
        <v>0</v>
      </c>
      <c r="D20" s="0" t="n">
        <v>0</v>
      </c>
      <c r="E20" s="0" t="n">
        <v>2</v>
      </c>
      <c r="F20" s="0" t="n">
        <v>0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f aca="false">SUM(C20:O20)</f>
        <v>2</v>
      </c>
      <c r="Q20" s="0" t="n">
        <v>0</v>
      </c>
      <c r="R20" s="0" t="n">
        <v>0</v>
      </c>
      <c r="S20" s="0" t="n">
        <v>1</v>
      </c>
      <c r="T20" s="0" t="n">
        <v>0</v>
      </c>
      <c r="U20" s="0" t="n">
        <v>0</v>
      </c>
      <c r="V20" s="0" t="n">
        <v>0</v>
      </c>
      <c r="W20" s="0" t="n">
        <v>0</v>
      </c>
      <c r="X20" s="0" t="n">
        <v>0</v>
      </c>
      <c r="Y20" s="0" t="n">
        <v>0</v>
      </c>
      <c r="Z20" s="0" t="n">
        <v>0</v>
      </c>
      <c r="AA20" s="0" t="n">
        <v>0</v>
      </c>
      <c r="AB20" s="0" t="n">
        <v>0</v>
      </c>
      <c r="AC20" s="0" t="n">
        <v>0</v>
      </c>
      <c r="AD20" s="0" t="n">
        <f aca="false">SUM(Q20:AC20)</f>
        <v>1</v>
      </c>
    </row>
    <row r="21" customFormat="false" ht="15" hidden="false" customHeight="false" outlineLevel="0" collapsed="false">
      <c r="A21" s="0" t="s">
        <v>55</v>
      </c>
      <c r="B21" s="0" t="s">
        <v>56</v>
      </c>
      <c r="C21" s="0" t="n">
        <v>0</v>
      </c>
      <c r="D21" s="0" t="n">
        <v>0</v>
      </c>
      <c r="E21" s="0" t="n">
        <v>2</v>
      </c>
      <c r="F21" s="0" t="n">
        <v>2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1</v>
      </c>
      <c r="M21" s="0" t="n">
        <v>0</v>
      </c>
      <c r="N21" s="0" t="n">
        <v>0</v>
      </c>
      <c r="O21" s="0" t="n">
        <v>0</v>
      </c>
      <c r="P21" s="0" t="n">
        <f aca="false">SUM(C21:O21)</f>
        <v>5</v>
      </c>
      <c r="Q21" s="0" t="n">
        <v>0</v>
      </c>
      <c r="R21" s="0" t="n">
        <v>0</v>
      </c>
      <c r="S21" s="0" t="n">
        <v>3</v>
      </c>
      <c r="T21" s="0" t="n">
        <v>1</v>
      </c>
      <c r="U21" s="0" t="n">
        <v>0</v>
      </c>
      <c r="V21" s="0" t="n">
        <v>0</v>
      </c>
      <c r="W21" s="0" t="n">
        <v>1</v>
      </c>
      <c r="X21" s="0" t="n">
        <v>0</v>
      </c>
      <c r="Y21" s="0" t="n">
        <v>0</v>
      </c>
      <c r="Z21" s="0" t="n">
        <v>1</v>
      </c>
      <c r="AA21" s="0" t="n">
        <v>0</v>
      </c>
      <c r="AB21" s="0" t="n">
        <v>0</v>
      </c>
      <c r="AC21" s="0" t="n">
        <v>0</v>
      </c>
      <c r="AD21" s="0" t="n">
        <f aca="false">SUM(Q21:AC21)</f>
        <v>6</v>
      </c>
    </row>
    <row r="22" customFormat="false" ht="15" hidden="false" customHeight="false" outlineLevel="0" collapsed="false">
      <c r="A22" s="0" t="s">
        <v>57</v>
      </c>
      <c r="B22" s="0" t="s">
        <v>58</v>
      </c>
      <c r="C22" s="0" t="n">
        <v>0</v>
      </c>
      <c r="D22" s="0" t="n">
        <v>0</v>
      </c>
      <c r="E22" s="0" t="n">
        <v>4</v>
      </c>
      <c r="F22" s="0" t="n">
        <v>0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1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f aca="false">SUM(C22:O22)</f>
        <v>5</v>
      </c>
      <c r="Q22" s="0" t="n">
        <v>0</v>
      </c>
      <c r="R22" s="0" t="n">
        <v>0</v>
      </c>
      <c r="S22" s="0" t="n">
        <v>4</v>
      </c>
      <c r="T22" s="0" t="n">
        <v>0</v>
      </c>
      <c r="U22" s="0" t="n">
        <v>0</v>
      </c>
      <c r="V22" s="0" t="n">
        <v>0</v>
      </c>
      <c r="W22" s="0" t="n">
        <v>0</v>
      </c>
      <c r="X22" s="0" t="n">
        <v>0</v>
      </c>
      <c r="Y22" s="0" t="n">
        <v>1</v>
      </c>
      <c r="Z22" s="0" t="n">
        <v>0</v>
      </c>
      <c r="AA22" s="0" t="n">
        <v>0</v>
      </c>
      <c r="AB22" s="0" t="n">
        <v>0</v>
      </c>
      <c r="AC22" s="0" t="n">
        <v>0</v>
      </c>
      <c r="AD22" s="0" t="n">
        <f aca="false">SUM(Q22:AC22)</f>
        <v>5</v>
      </c>
    </row>
    <row r="23" customFormat="false" ht="15" hidden="false" customHeight="false" outlineLevel="0" collapsed="false">
      <c r="A23" s="0" t="s">
        <v>59</v>
      </c>
      <c r="B23" s="0" t="s">
        <v>60</v>
      </c>
      <c r="C23" s="0" t="n">
        <v>0</v>
      </c>
      <c r="D23" s="0" t="n">
        <v>0</v>
      </c>
      <c r="E23" s="0" t="n">
        <v>1</v>
      </c>
      <c r="F23" s="0" t="n">
        <v>0</v>
      </c>
      <c r="G23" s="0" t="n">
        <v>0</v>
      </c>
      <c r="H23" s="0" t="n">
        <v>0</v>
      </c>
      <c r="I23" s="0" t="n">
        <v>1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f aca="false">SUM(C23:O23)</f>
        <v>2</v>
      </c>
      <c r="Q23" s="0" t="n">
        <v>0</v>
      </c>
      <c r="R23" s="0" t="n">
        <v>0</v>
      </c>
      <c r="S23" s="0" t="n">
        <v>1</v>
      </c>
      <c r="T23" s="0" t="n">
        <v>0</v>
      </c>
      <c r="U23" s="0" t="n">
        <v>0</v>
      </c>
      <c r="V23" s="0" t="n">
        <v>0</v>
      </c>
      <c r="W23" s="0" t="n">
        <v>1</v>
      </c>
      <c r="X23" s="0" t="n">
        <v>0</v>
      </c>
      <c r="Y23" s="0" t="n">
        <v>0</v>
      </c>
      <c r="Z23" s="0" t="n">
        <v>0</v>
      </c>
      <c r="AA23" s="0" t="n">
        <v>0</v>
      </c>
      <c r="AB23" s="0" t="n">
        <v>0</v>
      </c>
      <c r="AC23" s="0" t="n">
        <v>0</v>
      </c>
      <c r="AD23" s="0" t="n">
        <f aca="false">SUM(Q23:AC23)</f>
        <v>2</v>
      </c>
    </row>
    <row r="24" customFormat="false" ht="15" hidden="false" customHeight="false" outlineLevel="0" collapsed="false">
      <c r="A24" s="0" t="s">
        <v>61</v>
      </c>
      <c r="B24" s="0" t="s">
        <v>62</v>
      </c>
      <c r="C24" s="0" t="n">
        <v>2</v>
      </c>
      <c r="D24" s="0" t="n">
        <v>0</v>
      </c>
      <c r="E24" s="0" t="n">
        <v>31</v>
      </c>
      <c r="F24" s="0" t="n">
        <v>3</v>
      </c>
      <c r="G24" s="0" t="n">
        <v>0</v>
      </c>
      <c r="H24" s="0" t="n">
        <v>2</v>
      </c>
      <c r="I24" s="0" t="n">
        <v>3</v>
      </c>
      <c r="J24" s="0" t="n">
        <v>0</v>
      </c>
      <c r="K24" s="0" t="n">
        <v>1</v>
      </c>
      <c r="L24" s="0" t="n">
        <v>3</v>
      </c>
      <c r="M24" s="0" t="n">
        <v>0</v>
      </c>
      <c r="N24" s="0" t="n">
        <v>1</v>
      </c>
      <c r="O24" s="0" t="n">
        <v>1</v>
      </c>
      <c r="P24" s="0" t="n">
        <f aca="false">SUM(C24:O24)</f>
        <v>47</v>
      </c>
      <c r="Q24" s="0" t="n">
        <v>2</v>
      </c>
      <c r="R24" s="0" t="n">
        <v>0</v>
      </c>
      <c r="S24" s="0" t="n">
        <v>32</v>
      </c>
      <c r="T24" s="0" t="n">
        <v>3</v>
      </c>
      <c r="U24" s="0" t="n">
        <v>0</v>
      </c>
      <c r="V24" s="0" t="n">
        <v>2</v>
      </c>
      <c r="W24" s="0" t="n">
        <v>4</v>
      </c>
      <c r="X24" s="0" t="n">
        <v>0</v>
      </c>
      <c r="Y24" s="0" t="n">
        <v>1</v>
      </c>
      <c r="Z24" s="0" t="n">
        <v>3</v>
      </c>
      <c r="AA24" s="0" t="n">
        <v>0</v>
      </c>
      <c r="AB24" s="0" t="n">
        <v>1</v>
      </c>
      <c r="AC24" s="0" t="n">
        <v>1</v>
      </c>
      <c r="AD24" s="0" t="n">
        <f aca="false">SUM(Q24:AC24)</f>
        <v>49</v>
      </c>
    </row>
    <row r="25" customFormat="false" ht="15" hidden="false" customHeight="false" outlineLevel="0" collapsed="false">
      <c r="A25" s="0" t="s">
        <v>63</v>
      </c>
      <c r="B25" s="0" t="s">
        <v>64</v>
      </c>
      <c r="C25" s="0" t="n">
        <v>0</v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f aca="false">SUM(C25:O25)</f>
        <v>0</v>
      </c>
      <c r="Q25" s="0" t="n">
        <v>0</v>
      </c>
      <c r="R25" s="0" t="n">
        <v>0</v>
      </c>
      <c r="S25" s="0" t="n">
        <v>1</v>
      </c>
      <c r="T25" s="0" t="n">
        <v>0</v>
      </c>
      <c r="U25" s="0" t="n">
        <v>0</v>
      </c>
      <c r="V25" s="0" t="n">
        <v>0</v>
      </c>
      <c r="W25" s="0" t="n">
        <v>0</v>
      </c>
      <c r="X25" s="0" t="n">
        <v>0</v>
      </c>
      <c r="Y25" s="0" t="n">
        <v>0</v>
      </c>
      <c r="Z25" s="0" t="n">
        <v>0</v>
      </c>
      <c r="AA25" s="0" t="n">
        <v>0</v>
      </c>
      <c r="AB25" s="0" t="n">
        <v>0</v>
      </c>
      <c r="AC25" s="0" t="n">
        <v>0</v>
      </c>
      <c r="AD25" s="0" t="n">
        <f aca="false">SUM(Q25:AC25)</f>
        <v>1</v>
      </c>
    </row>
    <row r="26" customFormat="false" ht="15" hidden="false" customHeight="false" outlineLevel="0" collapsed="false">
      <c r="A26" s="0" t="s">
        <v>65</v>
      </c>
      <c r="B26" s="0" t="s">
        <v>66</v>
      </c>
      <c r="C26" s="0" t="n">
        <v>0</v>
      </c>
      <c r="D26" s="0" t="n">
        <v>0</v>
      </c>
      <c r="E26" s="0" t="n">
        <v>10</v>
      </c>
      <c r="F26" s="0" t="n">
        <v>1</v>
      </c>
      <c r="G26" s="0" t="n">
        <v>0</v>
      </c>
      <c r="H26" s="0" t="n">
        <v>0</v>
      </c>
      <c r="I26" s="0" t="n">
        <v>2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f aca="false">SUM(C26:O26)</f>
        <v>13</v>
      </c>
      <c r="Q26" s="0" t="n">
        <v>0</v>
      </c>
      <c r="R26" s="0" t="n">
        <v>0</v>
      </c>
      <c r="S26" s="0" t="n">
        <v>10</v>
      </c>
      <c r="T26" s="0" t="n">
        <v>1</v>
      </c>
      <c r="U26" s="0" t="n">
        <v>0</v>
      </c>
      <c r="V26" s="0" t="n">
        <v>0</v>
      </c>
      <c r="W26" s="0" t="n">
        <v>2</v>
      </c>
      <c r="X26" s="0" t="n">
        <v>0</v>
      </c>
      <c r="Y26" s="0" t="n">
        <v>0</v>
      </c>
      <c r="Z26" s="0" t="n">
        <v>0</v>
      </c>
      <c r="AA26" s="0" t="n">
        <v>0</v>
      </c>
      <c r="AB26" s="0" t="n">
        <v>0</v>
      </c>
      <c r="AC26" s="0" t="n">
        <v>0</v>
      </c>
      <c r="AD26" s="0" t="n">
        <f aca="false">SUM(Q26:AC26)</f>
        <v>13</v>
      </c>
    </row>
    <row r="27" customFormat="false" ht="15" hidden="false" customHeight="false" outlineLevel="0" collapsed="false">
      <c r="A27" s="0" t="s">
        <v>67</v>
      </c>
      <c r="B27" s="0" t="s">
        <v>68</v>
      </c>
      <c r="C27" s="0" t="n">
        <v>1</v>
      </c>
      <c r="D27" s="0" t="n">
        <v>3</v>
      </c>
      <c r="E27" s="0" t="n">
        <v>108</v>
      </c>
      <c r="F27" s="0" t="n">
        <v>10</v>
      </c>
      <c r="G27" s="0" t="n">
        <v>0</v>
      </c>
      <c r="H27" s="0" t="n">
        <v>2</v>
      </c>
      <c r="I27" s="0" t="n">
        <v>5</v>
      </c>
      <c r="J27" s="0" t="n">
        <v>0</v>
      </c>
      <c r="K27" s="0" t="n">
        <v>9</v>
      </c>
      <c r="L27" s="0" t="n">
        <v>5</v>
      </c>
      <c r="M27" s="0" t="n">
        <v>0</v>
      </c>
      <c r="N27" s="0" t="n">
        <v>0</v>
      </c>
      <c r="O27" s="0" t="n">
        <v>1</v>
      </c>
      <c r="P27" s="0" t="n">
        <f aca="false">SUM(C27:O27)</f>
        <v>144</v>
      </c>
      <c r="Q27" s="0" t="n">
        <v>1</v>
      </c>
      <c r="R27" s="0" t="n">
        <v>3</v>
      </c>
      <c r="S27" s="0" t="n">
        <v>108</v>
      </c>
      <c r="T27" s="0" t="n">
        <v>10</v>
      </c>
      <c r="U27" s="0" t="n">
        <v>0</v>
      </c>
      <c r="V27" s="0" t="n">
        <v>2</v>
      </c>
      <c r="W27" s="0" t="n">
        <v>5</v>
      </c>
      <c r="X27" s="0" t="n">
        <v>0</v>
      </c>
      <c r="Y27" s="0" t="n">
        <v>8</v>
      </c>
      <c r="Z27" s="0" t="n">
        <v>5</v>
      </c>
      <c r="AA27" s="0" t="n">
        <v>0</v>
      </c>
      <c r="AB27" s="0" t="n">
        <v>0</v>
      </c>
      <c r="AC27" s="0" t="n">
        <v>1</v>
      </c>
      <c r="AD27" s="0" t="n">
        <f aca="false">SUM(Q27:AC27)</f>
        <v>143</v>
      </c>
    </row>
    <row r="28" customFormat="false" ht="15" hidden="false" customHeight="false" outlineLevel="0" collapsed="false">
      <c r="A28" s="0" t="s">
        <v>69</v>
      </c>
      <c r="B28" s="0" t="s">
        <v>70</v>
      </c>
      <c r="C28" s="0" t="n">
        <v>2</v>
      </c>
      <c r="D28" s="0" t="n">
        <v>0</v>
      </c>
      <c r="E28" s="0" t="n">
        <v>9</v>
      </c>
      <c r="F28" s="0" t="n">
        <v>2</v>
      </c>
      <c r="G28" s="0" t="n">
        <v>0</v>
      </c>
      <c r="H28" s="0" t="n">
        <v>0</v>
      </c>
      <c r="I28" s="0" t="n">
        <v>0</v>
      </c>
      <c r="J28" s="0" t="n">
        <v>2</v>
      </c>
      <c r="K28" s="0" t="n">
        <v>0</v>
      </c>
      <c r="L28" s="0" t="n">
        <v>1</v>
      </c>
      <c r="M28" s="0" t="n">
        <v>0</v>
      </c>
      <c r="N28" s="0" t="n">
        <v>0</v>
      </c>
      <c r="O28" s="0" t="n">
        <v>2</v>
      </c>
      <c r="P28" s="0" t="n">
        <f aca="false">SUM(C28:O28)</f>
        <v>18</v>
      </c>
      <c r="Q28" s="0" t="n">
        <v>2</v>
      </c>
      <c r="R28" s="0" t="n">
        <v>0</v>
      </c>
      <c r="S28" s="0" t="n">
        <v>9</v>
      </c>
      <c r="T28" s="0" t="n">
        <v>4</v>
      </c>
      <c r="U28" s="0" t="n">
        <v>0</v>
      </c>
      <c r="V28" s="0" t="n">
        <v>0</v>
      </c>
      <c r="W28" s="0" t="n">
        <v>0</v>
      </c>
      <c r="X28" s="0" t="n">
        <v>2</v>
      </c>
      <c r="Y28" s="0" t="n">
        <v>0</v>
      </c>
      <c r="Z28" s="0" t="n">
        <v>0</v>
      </c>
      <c r="AA28" s="0" t="n">
        <v>0</v>
      </c>
      <c r="AB28" s="0" t="n">
        <v>0</v>
      </c>
      <c r="AC28" s="0" t="n">
        <v>3</v>
      </c>
      <c r="AD28" s="0" t="n">
        <f aca="false">SUM(Q28:AC28)</f>
        <v>20</v>
      </c>
    </row>
    <row r="29" customFormat="false" ht="15" hidden="false" customHeight="false" outlineLevel="0" collapsed="false">
      <c r="A29" s="0" t="s">
        <v>71</v>
      </c>
      <c r="B29" s="0" t="s">
        <v>72</v>
      </c>
      <c r="C29" s="0" t="n">
        <v>0</v>
      </c>
      <c r="D29" s="0" t="n">
        <v>0</v>
      </c>
      <c r="E29" s="0" t="n">
        <v>6</v>
      </c>
      <c r="F29" s="0" t="n">
        <v>0</v>
      </c>
      <c r="G29" s="0" t="n">
        <v>0</v>
      </c>
      <c r="H29" s="0" t="n">
        <v>0</v>
      </c>
      <c r="I29" s="0" t="n">
        <v>1</v>
      </c>
      <c r="J29" s="0" t="n">
        <v>1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f aca="false">SUM(C29:O29)</f>
        <v>8</v>
      </c>
      <c r="Q29" s="0" t="n">
        <v>0</v>
      </c>
      <c r="R29" s="0" t="n">
        <v>0</v>
      </c>
      <c r="S29" s="0" t="n">
        <v>6</v>
      </c>
      <c r="T29" s="0" t="n">
        <v>0</v>
      </c>
      <c r="U29" s="0" t="n">
        <v>0</v>
      </c>
      <c r="V29" s="0" t="n">
        <v>0</v>
      </c>
      <c r="W29" s="0" t="n">
        <v>1</v>
      </c>
      <c r="X29" s="0" t="n">
        <v>1</v>
      </c>
      <c r="Y29" s="0" t="n">
        <v>0</v>
      </c>
      <c r="Z29" s="0" t="n">
        <v>0</v>
      </c>
      <c r="AA29" s="0" t="n">
        <v>0</v>
      </c>
      <c r="AB29" s="0" t="n">
        <v>0</v>
      </c>
      <c r="AC29" s="0" t="n">
        <v>0</v>
      </c>
      <c r="AD29" s="0" t="n">
        <f aca="false">SUM(Q29:AC29)</f>
        <v>8</v>
      </c>
    </row>
    <row r="30" customFormat="false" ht="15" hidden="false" customHeight="false" outlineLevel="0" collapsed="false">
      <c r="A30" s="0" t="s">
        <v>73</v>
      </c>
      <c r="B30" s="0" t="s">
        <v>74</v>
      </c>
      <c r="C30" s="0" t="n">
        <v>1</v>
      </c>
      <c r="D30" s="0" t="n">
        <v>1</v>
      </c>
      <c r="E30" s="0" t="n">
        <v>2</v>
      </c>
      <c r="F30" s="0" t="n">
        <v>0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f aca="false">SUM(C30:O30)</f>
        <v>4</v>
      </c>
      <c r="Q30" s="0" t="n">
        <v>1</v>
      </c>
      <c r="R30" s="0" t="n">
        <v>1</v>
      </c>
      <c r="S30" s="0" t="n">
        <v>2</v>
      </c>
      <c r="T30" s="0" t="n">
        <v>0</v>
      </c>
      <c r="U30" s="0" t="n">
        <v>0</v>
      </c>
      <c r="V30" s="0" t="n">
        <v>0</v>
      </c>
      <c r="W30" s="0" t="n">
        <v>0</v>
      </c>
      <c r="X30" s="0" t="n">
        <v>0</v>
      </c>
      <c r="Y30" s="0" t="n">
        <v>0</v>
      </c>
      <c r="Z30" s="0" t="n">
        <v>0</v>
      </c>
      <c r="AA30" s="0" t="n">
        <v>0</v>
      </c>
      <c r="AB30" s="0" t="n">
        <v>0</v>
      </c>
      <c r="AC30" s="0" t="n">
        <v>0</v>
      </c>
      <c r="AD30" s="0" t="n">
        <f aca="false">SUM(Q30:AC30)</f>
        <v>4</v>
      </c>
    </row>
    <row r="31" customFormat="false" ht="15" hidden="false" customHeight="false" outlineLevel="0" collapsed="false">
      <c r="A31" s="0" t="s">
        <v>75</v>
      </c>
      <c r="B31" s="0" t="s">
        <v>76</v>
      </c>
      <c r="C31" s="0" t="n">
        <v>0</v>
      </c>
      <c r="D31" s="0" t="n">
        <v>0</v>
      </c>
      <c r="E31" s="0" t="n">
        <v>3</v>
      </c>
      <c r="F31" s="0" t="n">
        <v>2</v>
      </c>
      <c r="G31" s="0" t="n">
        <v>0</v>
      </c>
      <c r="H31" s="0" t="n">
        <v>0</v>
      </c>
      <c r="I31" s="0" t="n">
        <v>1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1</v>
      </c>
      <c r="O31" s="0" t="n">
        <v>0</v>
      </c>
      <c r="P31" s="0" t="n">
        <f aca="false">SUM(C31:O31)</f>
        <v>7</v>
      </c>
      <c r="Q31" s="0" t="n">
        <v>0</v>
      </c>
      <c r="R31" s="0" t="n">
        <v>0</v>
      </c>
      <c r="S31" s="0" t="n">
        <v>3</v>
      </c>
      <c r="T31" s="0" t="n">
        <v>2</v>
      </c>
      <c r="U31" s="0" t="n">
        <v>0</v>
      </c>
      <c r="V31" s="0" t="n">
        <v>0</v>
      </c>
      <c r="W31" s="0" t="n">
        <v>1</v>
      </c>
      <c r="X31" s="0" t="n">
        <v>0</v>
      </c>
      <c r="Y31" s="0" t="n">
        <v>0</v>
      </c>
      <c r="Z31" s="0" t="n">
        <v>0</v>
      </c>
      <c r="AA31" s="0" t="n">
        <v>0</v>
      </c>
      <c r="AB31" s="0" t="n">
        <v>1</v>
      </c>
      <c r="AC31" s="0" t="n">
        <v>0</v>
      </c>
      <c r="AD31" s="0" t="n">
        <f aca="false">SUM(Q31:AC31)</f>
        <v>7</v>
      </c>
    </row>
    <row r="32" customFormat="false" ht="15" hidden="false" customHeight="false" outlineLevel="0" collapsed="false">
      <c r="A32" s="0" t="s">
        <v>77</v>
      </c>
      <c r="B32" s="0" t="s">
        <v>78</v>
      </c>
      <c r="C32" s="0" t="n">
        <v>0</v>
      </c>
      <c r="D32" s="0" t="n">
        <v>0</v>
      </c>
      <c r="E32" s="0" t="n">
        <v>18</v>
      </c>
      <c r="F32" s="0" t="n">
        <v>1</v>
      </c>
      <c r="G32" s="0" t="n">
        <v>0</v>
      </c>
      <c r="H32" s="0" t="n">
        <v>0</v>
      </c>
      <c r="I32" s="0" t="n">
        <v>2</v>
      </c>
      <c r="J32" s="0" t="n">
        <v>0</v>
      </c>
      <c r="K32" s="0" t="n">
        <v>5</v>
      </c>
      <c r="L32" s="0" t="n">
        <v>1</v>
      </c>
      <c r="M32" s="0" t="n">
        <v>0</v>
      </c>
      <c r="N32" s="0" t="n">
        <v>0</v>
      </c>
      <c r="O32" s="0" t="n">
        <v>0</v>
      </c>
      <c r="P32" s="0" t="n">
        <f aca="false">SUM(C32:O32)</f>
        <v>27</v>
      </c>
      <c r="Q32" s="0" t="n">
        <v>0</v>
      </c>
      <c r="R32" s="0" t="n">
        <v>0</v>
      </c>
      <c r="S32" s="0" t="n">
        <v>17</v>
      </c>
      <c r="T32" s="0" t="n">
        <v>1</v>
      </c>
      <c r="U32" s="0" t="n">
        <v>0</v>
      </c>
      <c r="V32" s="0" t="n">
        <v>0</v>
      </c>
      <c r="W32" s="0" t="n">
        <v>2</v>
      </c>
      <c r="X32" s="0" t="n">
        <v>0</v>
      </c>
      <c r="Y32" s="0" t="n">
        <v>4</v>
      </c>
      <c r="Z32" s="0" t="n">
        <v>1</v>
      </c>
      <c r="AA32" s="0" t="n">
        <v>0</v>
      </c>
      <c r="AB32" s="0" t="n">
        <v>0</v>
      </c>
      <c r="AC32" s="0" t="n">
        <v>0</v>
      </c>
      <c r="AD32" s="0" t="n">
        <f aca="false">SUM(Q32:AC32)</f>
        <v>25</v>
      </c>
    </row>
    <row r="33" customFormat="false" ht="15" hidden="false" customHeight="false" outlineLevel="0" collapsed="false">
      <c r="A33" s="0" t="s">
        <v>79</v>
      </c>
      <c r="B33" s="0" t="s">
        <v>80</v>
      </c>
      <c r="C33" s="0" t="n">
        <v>0</v>
      </c>
      <c r="D33" s="0" t="n">
        <v>0</v>
      </c>
      <c r="E33" s="0" t="n">
        <v>7</v>
      </c>
      <c r="F33" s="0" t="n">
        <v>1</v>
      </c>
      <c r="G33" s="0" t="n">
        <v>0</v>
      </c>
      <c r="H33" s="0" t="n">
        <v>0</v>
      </c>
      <c r="I33" s="0" t="n">
        <v>1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f aca="false">SUM(C33:O33)</f>
        <v>9</v>
      </c>
      <c r="Q33" s="0" t="n">
        <v>0</v>
      </c>
      <c r="R33" s="0" t="n">
        <v>0</v>
      </c>
      <c r="S33" s="0" t="n">
        <v>6</v>
      </c>
      <c r="T33" s="0" t="n">
        <v>1</v>
      </c>
      <c r="U33" s="0" t="n">
        <v>0</v>
      </c>
      <c r="V33" s="0" t="n">
        <v>0</v>
      </c>
      <c r="W33" s="0" t="n">
        <v>2</v>
      </c>
      <c r="X33" s="0" t="n">
        <v>0</v>
      </c>
      <c r="Y33" s="0" t="n">
        <v>0</v>
      </c>
      <c r="Z33" s="0" t="n">
        <v>1</v>
      </c>
      <c r="AA33" s="0" t="n">
        <v>0</v>
      </c>
      <c r="AB33" s="0" t="n">
        <v>0</v>
      </c>
      <c r="AC33" s="0" t="n">
        <v>0</v>
      </c>
      <c r="AD33" s="0" t="n">
        <f aca="false">SUM(Q33:AC33)</f>
        <v>10</v>
      </c>
    </row>
    <row r="34" customFormat="false" ht="15" hidden="false" customHeight="false" outlineLevel="0" collapsed="false">
      <c r="A34" s="0" t="s">
        <v>81</v>
      </c>
      <c r="B34" s="0" t="s">
        <v>82</v>
      </c>
      <c r="C34" s="0" t="n">
        <v>0</v>
      </c>
      <c r="D34" s="0" t="n">
        <v>0</v>
      </c>
      <c r="E34" s="0" t="n">
        <v>15</v>
      </c>
      <c r="F34" s="0" t="n">
        <v>4</v>
      </c>
      <c r="G34" s="0" t="n">
        <v>0</v>
      </c>
      <c r="H34" s="0" t="n">
        <v>1</v>
      </c>
      <c r="I34" s="0" t="n">
        <v>3</v>
      </c>
      <c r="J34" s="0" t="n">
        <v>1</v>
      </c>
      <c r="K34" s="0" t="n">
        <v>1</v>
      </c>
      <c r="L34" s="0" t="n">
        <v>1</v>
      </c>
      <c r="M34" s="0" t="n">
        <v>0</v>
      </c>
      <c r="N34" s="0" t="n">
        <v>0</v>
      </c>
      <c r="O34" s="0" t="n">
        <v>0</v>
      </c>
      <c r="P34" s="0" t="n">
        <f aca="false">SUM(C34:O34)</f>
        <v>26</v>
      </c>
      <c r="Q34" s="0" t="n">
        <v>0</v>
      </c>
      <c r="R34" s="0" t="n">
        <v>0</v>
      </c>
      <c r="S34" s="0" t="n">
        <v>15</v>
      </c>
      <c r="T34" s="0" t="n">
        <v>4</v>
      </c>
      <c r="U34" s="0" t="n">
        <v>0</v>
      </c>
      <c r="V34" s="0" t="n">
        <v>1</v>
      </c>
      <c r="W34" s="0" t="n">
        <v>3</v>
      </c>
      <c r="X34" s="0" t="n">
        <v>1</v>
      </c>
      <c r="Y34" s="0" t="n">
        <v>1</v>
      </c>
      <c r="Z34" s="0" t="n">
        <v>1</v>
      </c>
      <c r="AA34" s="0" t="n">
        <v>0</v>
      </c>
      <c r="AB34" s="0" t="n">
        <v>0</v>
      </c>
      <c r="AC34" s="0" t="n">
        <v>0</v>
      </c>
      <c r="AD34" s="0" t="n">
        <f aca="false">SUM(Q34:AC34)</f>
        <v>26</v>
      </c>
    </row>
    <row r="35" customFormat="false" ht="15" hidden="false" customHeight="false" outlineLevel="0" collapsed="false">
      <c r="A35" s="0" t="s">
        <v>83</v>
      </c>
      <c r="B35" s="0" t="s">
        <v>84</v>
      </c>
      <c r="C35" s="0" t="n">
        <v>1</v>
      </c>
      <c r="D35" s="0" t="n">
        <v>0</v>
      </c>
      <c r="E35" s="0" t="n">
        <v>10</v>
      </c>
      <c r="F35" s="0" t="n">
        <v>2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f aca="false">SUM(C35:O35)</f>
        <v>13</v>
      </c>
      <c r="Q35" s="0" t="n">
        <v>2</v>
      </c>
      <c r="R35" s="0" t="n">
        <v>0</v>
      </c>
      <c r="S35" s="0" t="n">
        <v>11</v>
      </c>
      <c r="T35" s="0" t="n">
        <v>3</v>
      </c>
      <c r="U35" s="0" t="n">
        <v>0</v>
      </c>
      <c r="V35" s="0" t="n">
        <v>0</v>
      </c>
      <c r="W35" s="0" t="n">
        <v>0</v>
      </c>
      <c r="X35" s="0" t="n">
        <v>1</v>
      </c>
      <c r="Y35" s="0" t="n">
        <v>0</v>
      </c>
      <c r="Z35" s="0" t="n">
        <v>0</v>
      </c>
      <c r="AA35" s="0" t="n">
        <v>0</v>
      </c>
      <c r="AB35" s="0" t="n">
        <v>0</v>
      </c>
      <c r="AC35" s="0" t="n">
        <v>0</v>
      </c>
      <c r="AD35" s="0" t="n">
        <f aca="false">SUM(Q35:AC35)</f>
        <v>17</v>
      </c>
    </row>
    <row r="36" customFormat="false" ht="15" hidden="false" customHeight="false" outlineLevel="0" collapsed="false">
      <c r="A36" s="0" t="s">
        <v>85</v>
      </c>
      <c r="B36" s="0" t="s">
        <v>86</v>
      </c>
      <c r="C36" s="0" t="n">
        <v>0</v>
      </c>
      <c r="D36" s="0" t="n">
        <v>0</v>
      </c>
      <c r="E36" s="0" t="n">
        <v>24</v>
      </c>
      <c r="F36" s="0" t="n">
        <v>7</v>
      </c>
      <c r="G36" s="0" t="n">
        <v>0</v>
      </c>
      <c r="H36" s="0" t="n">
        <v>0</v>
      </c>
      <c r="I36" s="0" t="n">
        <v>10</v>
      </c>
      <c r="J36" s="0" t="n">
        <v>2</v>
      </c>
      <c r="K36" s="0" t="n">
        <v>0</v>
      </c>
      <c r="L36" s="0" t="n">
        <v>1</v>
      </c>
      <c r="M36" s="0" t="n">
        <v>0</v>
      </c>
      <c r="N36" s="0" t="n">
        <v>0</v>
      </c>
      <c r="O36" s="0" t="n">
        <v>2</v>
      </c>
      <c r="P36" s="0" t="n">
        <f aca="false">SUM(C36:O36)</f>
        <v>46</v>
      </c>
      <c r="Q36" s="0" t="n">
        <v>0</v>
      </c>
      <c r="R36" s="0" t="n">
        <v>0</v>
      </c>
      <c r="S36" s="0" t="n">
        <v>24</v>
      </c>
      <c r="T36" s="0" t="n">
        <v>7</v>
      </c>
      <c r="U36" s="0" t="n">
        <v>0</v>
      </c>
      <c r="V36" s="0" t="n">
        <v>0</v>
      </c>
      <c r="W36" s="0" t="n">
        <v>12</v>
      </c>
      <c r="X36" s="0" t="n">
        <v>2</v>
      </c>
      <c r="Y36" s="0" t="n">
        <v>0</v>
      </c>
      <c r="Z36" s="0" t="n">
        <v>1</v>
      </c>
      <c r="AA36" s="0" t="n">
        <v>0</v>
      </c>
      <c r="AB36" s="0" t="n">
        <v>0</v>
      </c>
      <c r="AC36" s="0" t="n">
        <v>3</v>
      </c>
      <c r="AD36" s="0" t="n">
        <f aca="false">SUM(Q36:AC36)</f>
        <v>49</v>
      </c>
    </row>
    <row r="37" customFormat="false" ht="15" hidden="false" customHeight="false" outlineLevel="0" collapsed="false">
      <c r="A37" s="0" t="s">
        <v>87</v>
      </c>
      <c r="B37" s="0" t="s">
        <v>88</v>
      </c>
      <c r="C37" s="0" t="n">
        <v>0</v>
      </c>
      <c r="D37" s="0" t="n">
        <v>0</v>
      </c>
      <c r="E37" s="0" t="n">
        <v>6</v>
      </c>
      <c r="F37" s="0" t="n">
        <v>1</v>
      </c>
      <c r="G37" s="0" t="n">
        <v>0</v>
      </c>
      <c r="H37" s="0" t="n">
        <v>0</v>
      </c>
      <c r="I37" s="0" t="n">
        <v>2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f aca="false">SUM(C37:O37)</f>
        <v>9</v>
      </c>
      <c r="Q37" s="0" t="n">
        <v>0</v>
      </c>
      <c r="R37" s="0" t="n">
        <v>0</v>
      </c>
      <c r="S37" s="0" t="n">
        <v>4</v>
      </c>
      <c r="T37" s="0" t="n">
        <v>2</v>
      </c>
      <c r="U37" s="0" t="n">
        <v>0</v>
      </c>
      <c r="V37" s="0" t="n">
        <v>0</v>
      </c>
      <c r="W37" s="0" t="n">
        <v>1</v>
      </c>
      <c r="X37" s="0" t="n">
        <v>0</v>
      </c>
      <c r="Y37" s="0" t="n">
        <v>0</v>
      </c>
      <c r="Z37" s="0" t="n">
        <v>0</v>
      </c>
      <c r="AA37" s="0" t="n">
        <v>0</v>
      </c>
      <c r="AB37" s="0" t="n">
        <v>1</v>
      </c>
      <c r="AC37" s="0" t="n">
        <v>0</v>
      </c>
      <c r="AD37" s="0" t="n">
        <f aca="false">SUM(Q37:AC37)</f>
        <v>8</v>
      </c>
    </row>
    <row r="38" customFormat="false" ht="15" hidden="false" customHeight="false" outlineLevel="0" collapsed="false">
      <c r="A38" s="0" t="s">
        <v>89</v>
      </c>
      <c r="B38" s="0" t="s">
        <v>90</v>
      </c>
      <c r="C38" s="0" t="n">
        <v>0</v>
      </c>
      <c r="D38" s="0" t="n">
        <v>0</v>
      </c>
      <c r="E38" s="0" t="n">
        <v>7</v>
      </c>
      <c r="F38" s="0" t="n">
        <v>0</v>
      </c>
      <c r="G38" s="0" t="n">
        <v>0</v>
      </c>
      <c r="H38" s="0" t="n">
        <v>0</v>
      </c>
      <c r="I38" s="0" t="n">
        <v>1</v>
      </c>
      <c r="J38" s="0" t="n">
        <v>0</v>
      </c>
      <c r="K38" s="0" t="n">
        <v>1</v>
      </c>
      <c r="L38" s="0" t="n">
        <v>0</v>
      </c>
      <c r="M38" s="0" t="n">
        <v>0</v>
      </c>
      <c r="N38" s="0" t="n">
        <v>1</v>
      </c>
      <c r="O38" s="0" t="n">
        <v>0</v>
      </c>
      <c r="P38" s="0" t="n">
        <f aca="false">SUM(C38:O38)</f>
        <v>10</v>
      </c>
      <c r="Q38" s="0" t="n">
        <v>0</v>
      </c>
      <c r="R38" s="0" t="n">
        <v>0</v>
      </c>
      <c r="S38" s="0" t="n">
        <v>8</v>
      </c>
      <c r="T38" s="0" t="n">
        <v>0</v>
      </c>
      <c r="U38" s="0" t="n">
        <v>0</v>
      </c>
      <c r="V38" s="0" t="n">
        <v>0</v>
      </c>
      <c r="W38" s="0" t="n">
        <v>1</v>
      </c>
      <c r="X38" s="0" t="n">
        <v>0</v>
      </c>
      <c r="Y38" s="0" t="n">
        <v>1</v>
      </c>
      <c r="Z38" s="0" t="n">
        <v>0</v>
      </c>
      <c r="AA38" s="0" t="n">
        <v>0</v>
      </c>
      <c r="AB38" s="0" t="n">
        <v>1</v>
      </c>
      <c r="AC38" s="0" t="n">
        <v>0</v>
      </c>
      <c r="AD38" s="0" t="n">
        <f aca="false">SUM(Q38:AC38)</f>
        <v>11</v>
      </c>
    </row>
    <row r="39" customFormat="false" ht="15" hidden="false" customHeight="false" outlineLevel="0" collapsed="false">
      <c r="A39" s="0" t="s">
        <v>91</v>
      </c>
      <c r="B39" s="0" t="s">
        <v>92</v>
      </c>
      <c r="C39" s="0" t="n">
        <v>0</v>
      </c>
      <c r="D39" s="0" t="n">
        <v>0</v>
      </c>
      <c r="E39" s="0" t="n">
        <v>6</v>
      </c>
      <c r="F39" s="0" t="n">
        <v>3</v>
      </c>
      <c r="G39" s="0" t="n">
        <v>0</v>
      </c>
      <c r="H39" s="0" t="n">
        <v>3</v>
      </c>
      <c r="I39" s="0" t="n">
        <v>1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f aca="false">SUM(C39:O39)</f>
        <v>13</v>
      </c>
      <c r="Q39" s="0" t="n">
        <v>0</v>
      </c>
      <c r="R39" s="0" t="n">
        <v>0</v>
      </c>
      <c r="S39" s="0" t="n">
        <v>6</v>
      </c>
      <c r="T39" s="0" t="n">
        <v>3</v>
      </c>
      <c r="U39" s="0" t="n">
        <v>0</v>
      </c>
      <c r="V39" s="0" t="n">
        <v>3</v>
      </c>
      <c r="W39" s="0" t="n">
        <v>1</v>
      </c>
      <c r="X39" s="0" t="n">
        <v>0</v>
      </c>
      <c r="Y39" s="0" t="n">
        <v>0</v>
      </c>
      <c r="Z39" s="0" t="n">
        <v>0</v>
      </c>
      <c r="AA39" s="0" t="n">
        <v>0</v>
      </c>
      <c r="AB39" s="0" t="n">
        <v>0</v>
      </c>
      <c r="AC39" s="0" t="n">
        <v>0</v>
      </c>
      <c r="AD39" s="0" t="n">
        <f aca="false">SUM(Q39:AC39)</f>
        <v>13</v>
      </c>
    </row>
    <row r="40" customFormat="false" ht="15" hidden="false" customHeight="false" outlineLevel="0" collapsed="false">
      <c r="A40" s="0" t="s">
        <v>93</v>
      </c>
      <c r="B40" s="0" t="s">
        <v>94</v>
      </c>
      <c r="C40" s="0" t="n">
        <v>4</v>
      </c>
      <c r="D40" s="0" t="n">
        <v>1</v>
      </c>
      <c r="E40" s="0" t="n">
        <v>48</v>
      </c>
      <c r="F40" s="0" t="n">
        <v>10</v>
      </c>
      <c r="G40" s="0" t="n">
        <v>2</v>
      </c>
      <c r="H40" s="0" t="n">
        <v>2</v>
      </c>
      <c r="I40" s="0" t="n">
        <v>5</v>
      </c>
      <c r="J40" s="0" t="n">
        <v>0</v>
      </c>
      <c r="K40" s="0" t="n">
        <v>4</v>
      </c>
      <c r="L40" s="0" t="n">
        <v>2</v>
      </c>
      <c r="M40" s="0" t="n">
        <v>1</v>
      </c>
      <c r="N40" s="0" t="n">
        <v>1</v>
      </c>
      <c r="O40" s="0" t="n">
        <v>1</v>
      </c>
      <c r="P40" s="0" t="n">
        <f aca="false">SUM(C40:O40)</f>
        <v>81</v>
      </c>
      <c r="Q40" s="0" t="n">
        <v>4</v>
      </c>
      <c r="R40" s="0" t="n">
        <v>1</v>
      </c>
      <c r="S40" s="0" t="n">
        <v>43</v>
      </c>
      <c r="T40" s="0" t="n">
        <v>10</v>
      </c>
      <c r="U40" s="0" t="n">
        <v>2</v>
      </c>
      <c r="V40" s="0" t="n">
        <v>2</v>
      </c>
      <c r="W40" s="0" t="n">
        <v>6</v>
      </c>
      <c r="X40" s="0" t="n">
        <v>0</v>
      </c>
      <c r="Y40" s="0" t="n">
        <v>4</v>
      </c>
      <c r="Z40" s="0" t="n">
        <v>2</v>
      </c>
      <c r="AA40" s="0" t="n">
        <v>1</v>
      </c>
      <c r="AB40" s="0" t="n">
        <v>2</v>
      </c>
      <c r="AC40" s="0" t="n">
        <v>2</v>
      </c>
      <c r="AD40" s="0" t="n">
        <f aca="false">SUM(Q40:AC40)</f>
        <v>79</v>
      </c>
    </row>
    <row r="41" customFormat="false" ht="15" hidden="false" customHeight="false" outlineLevel="0" collapsed="false">
      <c r="A41" s="0" t="s">
        <v>95</v>
      </c>
      <c r="B41" s="0" t="s">
        <v>96</v>
      </c>
      <c r="C41" s="0" t="n">
        <v>0</v>
      </c>
      <c r="D41" s="0" t="n">
        <v>0</v>
      </c>
      <c r="E41" s="0" t="n">
        <v>2</v>
      </c>
      <c r="F41" s="0" t="n">
        <v>1</v>
      </c>
      <c r="G41" s="0" t="n">
        <v>0</v>
      </c>
      <c r="H41" s="0" t="n">
        <v>1</v>
      </c>
      <c r="I41" s="0" t="n">
        <v>1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f aca="false">SUM(C41:O41)</f>
        <v>5</v>
      </c>
      <c r="Q41" s="0" t="n">
        <v>0</v>
      </c>
      <c r="R41" s="0" t="n">
        <v>0</v>
      </c>
      <c r="S41" s="0" t="n">
        <v>2</v>
      </c>
      <c r="T41" s="0" t="n">
        <v>1</v>
      </c>
      <c r="U41" s="0" t="n">
        <v>0</v>
      </c>
      <c r="V41" s="0" t="n">
        <v>0</v>
      </c>
      <c r="W41" s="0" t="n">
        <v>1</v>
      </c>
      <c r="X41" s="0" t="n">
        <v>0</v>
      </c>
      <c r="Y41" s="0" t="n">
        <v>0</v>
      </c>
      <c r="Z41" s="0" t="n">
        <v>0</v>
      </c>
      <c r="AA41" s="0" t="n">
        <v>0</v>
      </c>
      <c r="AB41" s="0" t="n">
        <v>0</v>
      </c>
      <c r="AC41" s="0" t="n">
        <v>0</v>
      </c>
      <c r="AD41" s="0" t="n">
        <f aca="false">SUM(Q41:AC41)</f>
        <v>4</v>
      </c>
    </row>
    <row r="42" customFormat="false" ht="15" hidden="false" customHeight="false" outlineLevel="0" collapsed="false">
      <c r="A42" s="0" t="s">
        <v>97</v>
      </c>
      <c r="B42" s="0" t="s">
        <v>98</v>
      </c>
      <c r="C42" s="0" t="n">
        <v>0</v>
      </c>
      <c r="D42" s="0" t="n">
        <v>0</v>
      </c>
      <c r="E42" s="0" t="n">
        <v>14</v>
      </c>
      <c r="F42" s="0" t="n">
        <v>4</v>
      </c>
      <c r="G42" s="0" t="n">
        <v>0</v>
      </c>
      <c r="H42" s="0" t="n">
        <v>4</v>
      </c>
      <c r="I42" s="0" t="n">
        <v>1</v>
      </c>
      <c r="J42" s="0" t="n">
        <v>0</v>
      </c>
      <c r="K42" s="0" t="n">
        <v>2</v>
      </c>
      <c r="L42" s="0" t="n">
        <v>1</v>
      </c>
      <c r="M42" s="0" t="n">
        <v>0</v>
      </c>
      <c r="N42" s="0" t="n">
        <v>0</v>
      </c>
      <c r="O42" s="0" t="n">
        <v>1</v>
      </c>
      <c r="P42" s="0" t="n">
        <f aca="false">SUM(C42:O42)</f>
        <v>27</v>
      </c>
      <c r="Q42" s="0" t="n">
        <v>0</v>
      </c>
      <c r="R42" s="0" t="n">
        <v>0</v>
      </c>
      <c r="S42" s="0" t="n">
        <v>14</v>
      </c>
      <c r="T42" s="0" t="n">
        <v>4</v>
      </c>
      <c r="U42" s="0" t="n">
        <v>0</v>
      </c>
      <c r="V42" s="0" t="n">
        <v>4</v>
      </c>
      <c r="W42" s="0" t="n">
        <v>1</v>
      </c>
      <c r="X42" s="0" t="n">
        <v>0</v>
      </c>
      <c r="Y42" s="0" t="n">
        <v>1</v>
      </c>
      <c r="Z42" s="0" t="n">
        <v>1</v>
      </c>
      <c r="AA42" s="0" t="n">
        <v>0</v>
      </c>
      <c r="AB42" s="0" t="n">
        <v>0</v>
      </c>
      <c r="AC42" s="0" t="n">
        <v>1</v>
      </c>
      <c r="AD42" s="0" t="n">
        <f aca="false">SUM(Q42:AC42)</f>
        <v>26</v>
      </c>
    </row>
    <row r="43" customFormat="false" ht="15" hidden="false" customHeight="false" outlineLevel="0" collapsed="false">
      <c r="A43" s="0" t="s">
        <v>99</v>
      </c>
      <c r="B43" s="0" t="s">
        <v>100</v>
      </c>
      <c r="C43" s="0" t="n">
        <v>0</v>
      </c>
      <c r="D43" s="0" t="n">
        <v>0</v>
      </c>
      <c r="E43" s="0" t="n">
        <v>3</v>
      </c>
      <c r="F43" s="0" t="n">
        <v>0</v>
      </c>
      <c r="G43" s="0" t="n">
        <v>0</v>
      </c>
      <c r="H43" s="0" t="n">
        <v>0</v>
      </c>
      <c r="I43" s="0" t="n">
        <v>1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1</v>
      </c>
      <c r="P43" s="0" t="n">
        <f aca="false">SUM(C43:O43)</f>
        <v>5</v>
      </c>
      <c r="Q43" s="0" t="n">
        <v>0</v>
      </c>
      <c r="R43" s="0" t="n">
        <v>0</v>
      </c>
      <c r="S43" s="0" t="n">
        <v>3</v>
      </c>
      <c r="T43" s="0" t="n">
        <v>0</v>
      </c>
      <c r="U43" s="0" t="n">
        <v>0</v>
      </c>
      <c r="V43" s="0" t="n">
        <v>0</v>
      </c>
      <c r="W43" s="0" t="n">
        <v>1</v>
      </c>
      <c r="X43" s="0" t="n">
        <v>0</v>
      </c>
      <c r="Y43" s="0" t="n">
        <v>0</v>
      </c>
      <c r="Z43" s="0" t="n">
        <v>0</v>
      </c>
      <c r="AA43" s="0" t="n">
        <v>0</v>
      </c>
      <c r="AB43" s="0" t="n">
        <v>0</v>
      </c>
      <c r="AC43" s="0" t="n">
        <v>1</v>
      </c>
      <c r="AD43" s="0" t="n">
        <f aca="false">SUM(Q43:AC43)</f>
        <v>5</v>
      </c>
    </row>
    <row r="44" customFormat="false" ht="15" hidden="false" customHeight="false" outlineLevel="0" collapsed="false">
      <c r="A44" s="0" t="s">
        <v>101</v>
      </c>
      <c r="B44" s="0" t="s">
        <v>102</v>
      </c>
      <c r="C44" s="0" t="n">
        <v>0</v>
      </c>
      <c r="D44" s="0" t="n">
        <v>0</v>
      </c>
      <c r="E44" s="0" t="n">
        <v>0</v>
      </c>
      <c r="F44" s="0" t="n">
        <v>1</v>
      </c>
      <c r="G44" s="0" t="n">
        <v>0</v>
      </c>
      <c r="H44" s="0" t="n">
        <v>0</v>
      </c>
      <c r="I44" s="0" t="n">
        <v>1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1</v>
      </c>
      <c r="O44" s="0" t="n">
        <v>0</v>
      </c>
      <c r="P44" s="0" t="n">
        <f aca="false">SUM(C44:O44)</f>
        <v>3</v>
      </c>
      <c r="Q44" s="0" t="n">
        <v>0</v>
      </c>
      <c r="R44" s="0" t="n">
        <v>0</v>
      </c>
      <c r="S44" s="0" t="n">
        <v>0</v>
      </c>
      <c r="T44" s="0" t="n">
        <v>1</v>
      </c>
      <c r="U44" s="0" t="n">
        <v>0</v>
      </c>
      <c r="V44" s="0" t="n">
        <v>0</v>
      </c>
      <c r="W44" s="0" t="n">
        <v>1</v>
      </c>
      <c r="X44" s="0" t="n">
        <v>0</v>
      </c>
      <c r="Y44" s="0" t="n">
        <v>0</v>
      </c>
      <c r="Z44" s="0" t="n">
        <v>0</v>
      </c>
      <c r="AA44" s="0" t="n">
        <v>0</v>
      </c>
      <c r="AB44" s="0" t="n">
        <v>1</v>
      </c>
      <c r="AC44" s="0" t="n">
        <v>0</v>
      </c>
      <c r="AD44" s="0" t="n">
        <f aca="false">SUM(Q44:AC44)</f>
        <v>3</v>
      </c>
    </row>
    <row r="45" customFormat="false" ht="15" hidden="false" customHeight="false" outlineLevel="0" collapsed="false">
      <c r="A45" s="0" t="s">
        <v>103</v>
      </c>
      <c r="B45" s="0" t="s">
        <v>104</v>
      </c>
      <c r="C45" s="0" t="n">
        <v>0</v>
      </c>
      <c r="D45" s="0" t="n">
        <v>0</v>
      </c>
      <c r="E45" s="0" t="n">
        <v>2</v>
      </c>
      <c r="F45" s="0" t="n">
        <v>1</v>
      </c>
      <c r="G45" s="0" t="n">
        <v>0</v>
      </c>
      <c r="H45" s="0" t="n">
        <v>0</v>
      </c>
      <c r="I45" s="0" t="n">
        <v>1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f aca="false">SUM(C45:O45)</f>
        <v>4</v>
      </c>
      <c r="Q45" s="0" t="n">
        <v>0</v>
      </c>
      <c r="R45" s="0" t="n">
        <v>0</v>
      </c>
      <c r="S45" s="0" t="n">
        <v>2</v>
      </c>
      <c r="T45" s="0" t="n">
        <v>1</v>
      </c>
      <c r="U45" s="0" t="n">
        <v>0</v>
      </c>
      <c r="V45" s="0" t="n">
        <v>0</v>
      </c>
      <c r="W45" s="0" t="n">
        <v>1</v>
      </c>
      <c r="X45" s="0" t="n">
        <v>0</v>
      </c>
      <c r="Y45" s="0" t="n">
        <v>0</v>
      </c>
      <c r="Z45" s="0" t="n">
        <v>0</v>
      </c>
      <c r="AA45" s="0" t="n">
        <v>0</v>
      </c>
      <c r="AB45" s="0" t="n">
        <v>0</v>
      </c>
      <c r="AC45" s="0" t="n">
        <v>0</v>
      </c>
      <c r="AD45" s="0" t="n">
        <f aca="false">SUM(Q45:AC45)</f>
        <v>4</v>
      </c>
    </row>
    <row r="46" customFormat="false" ht="15" hidden="false" customHeight="false" outlineLevel="0" collapsed="false">
      <c r="A46" s="0" t="s">
        <v>105</v>
      </c>
      <c r="B46" s="0" t="s">
        <v>106</v>
      </c>
      <c r="C46" s="0" t="n">
        <v>0</v>
      </c>
      <c r="D46" s="0" t="n">
        <v>0</v>
      </c>
      <c r="E46" s="0" t="n">
        <v>3</v>
      </c>
      <c r="F46" s="0" t="n">
        <v>1</v>
      </c>
      <c r="G46" s="0" t="n">
        <v>0</v>
      </c>
      <c r="H46" s="0" t="n">
        <v>0</v>
      </c>
      <c r="I46" s="0" t="n">
        <v>1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1</v>
      </c>
      <c r="O46" s="0" t="n">
        <v>0</v>
      </c>
      <c r="P46" s="0" t="n">
        <f aca="false">SUM(C46:O46)</f>
        <v>6</v>
      </c>
      <c r="Q46" s="0" t="n">
        <v>0</v>
      </c>
      <c r="R46" s="0" t="n">
        <v>0</v>
      </c>
      <c r="S46" s="0" t="n">
        <v>4</v>
      </c>
      <c r="T46" s="0" t="n">
        <v>1</v>
      </c>
      <c r="U46" s="0" t="n">
        <v>0</v>
      </c>
      <c r="V46" s="0" t="n">
        <v>0</v>
      </c>
      <c r="W46" s="0" t="n">
        <v>1</v>
      </c>
      <c r="X46" s="0" t="n">
        <v>0</v>
      </c>
      <c r="Y46" s="0" t="n">
        <v>0</v>
      </c>
      <c r="Z46" s="0" t="n">
        <v>0</v>
      </c>
      <c r="AA46" s="0" t="n">
        <v>0</v>
      </c>
      <c r="AB46" s="0" t="n">
        <v>1</v>
      </c>
      <c r="AC46" s="0" t="n">
        <v>0</v>
      </c>
      <c r="AD46" s="0" t="n">
        <f aca="false">SUM(Q46:AC46)</f>
        <v>7</v>
      </c>
    </row>
    <row r="47" customFormat="false" ht="15" hidden="false" customHeight="false" outlineLevel="0" collapsed="false">
      <c r="A47" s="0" t="s">
        <v>107</v>
      </c>
      <c r="B47" s="0" t="s">
        <v>108</v>
      </c>
      <c r="C47" s="0" t="n">
        <v>0</v>
      </c>
      <c r="D47" s="0" t="n">
        <v>0</v>
      </c>
      <c r="E47" s="0" t="n">
        <v>4</v>
      </c>
      <c r="F47" s="0" t="n">
        <v>0</v>
      </c>
      <c r="G47" s="0" t="n">
        <v>0</v>
      </c>
      <c r="H47" s="0" t="n">
        <v>0</v>
      </c>
      <c r="I47" s="0" t="n">
        <v>2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f aca="false">SUM(C47:O47)</f>
        <v>6</v>
      </c>
      <c r="Q47" s="0" t="n">
        <v>1</v>
      </c>
      <c r="R47" s="0" t="n">
        <v>0</v>
      </c>
      <c r="S47" s="0" t="n">
        <v>3</v>
      </c>
      <c r="T47" s="0" t="n">
        <v>0</v>
      </c>
      <c r="U47" s="0" t="n">
        <v>0</v>
      </c>
      <c r="V47" s="0" t="n">
        <v>0</v>
      </c>
      <c r="W47" s="0" t="n">
        <v>2</v>
      </c>
      <c r="X47" s="0" t="n">
        <v>0</v>
      </c>
      <c r="Y47" s="0" t="n">
        <v>0</v>
      </c>
      <c r="Z47" s="0" t="n">
        <v>0</v>
      </c>
      <c r="AA47" s="0" t="n">
        <v>0</v>
      </c>
      <c r="AB47" s="0" t="n">
        <v>0</v>
      </c>
      <c r="AC47" s="0" t="n">
        <v>0</v>
      </c>
      <c r="AD47" s="0" t="n">
        <f aca="false">SUM(Q47:AC47)</f>
        <v>6</v>
      </c>
    </row>
    <row r="48" customFormat="false" ht="15" hidden="false" customHeight="false" outlineLevel="0" collapsed="false">
      <c r="A48" s="0" t="s">
        <v>109</v>
      </c>
      <c r="B48" s="0" t="s">
        <v>110</v>
      </c>
      <c r="C48" s="0" t="n">
        <v>0</v>
      </c>
      <c r="D48" s="0" t="n">
        <v>0</v>
      </c>
      <c r="E48" s="0" t="n">
        <v>4</v>
      </c>
      <c r="F48" s="0" t="n">
        <v>1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2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f aca="false">SUM(C48:O48)</f>
        <v>7</v>
      </c>
      <c r="Q48" s="0" t="n">
        <v>0</v>
      </c>
      <c r="R48" s="0" t="n">
        <v>0</v>
      </c>
      <c r="S48" s="0" t="n">
        <v>4</v>
      </c>
      <c r="T48" s="0" t="n">
        <v>1</v>
      </c>
      <c r="U48" s="0" t="n">
        <v>0</v>
      </c>
      <c r="V48" s="0" t="n">
        <v>0</v>
      </c>
      <c r="W48" s="0" t="n">
        <v>0</v>
      </c>
      <c r="X48" s="0" t="n">
        <v>0</v>
      </c>
      <c r="Y48" s="0" t="n">
        <v>2</v>
      </c>
      <c r="Z48" s="0" t="n">
        <v>0</v>
      </c>
      <c r="AA48" s="0" t="n">
        <v>0</v>
      </c>
      <c r="AB48" s="0" t="n">
        <v>0</v>
      </c>
      <c r="AC48" s="0" t="n">
        <v>0</v>
      </c>
      <c r="AD48" s="0" t="n">
        <f aca="false">SUM(Q48:AC48)</f>
        <v>7</v>
      </c>
    </row>
    <row r="49" customFormat="false" ht="15" hidden="false" customHeight="false" outlineLevel="0" collapsed="false">
      <c r="A49" s="0" t="s">
        <v>111</v>
      </c>
      <c r="B49" s="0" t="s">
        <v>112</v>
      </c>
      <c r="C49" s="0" t="n">
        <v>0</v>
      </c>
      <c r="D49" s="0" t="n">
        <v>0</v>
      </c>
      <c r="E49" s="0" t="n">
        <v>2</v>
      </c>
      <c r="F49" s="0" t="n">
        <v>1</v>
      </c>
      <c r="G49" s="0" t="n">
        <v>0</v>
      </c>
      <c r="H49" s="0" t="n">
        <v>0</v>
      </c>
      <c r="I49" s="0" t="n">
        <v>1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f aca="false">SUM(C49:O49)</f>
        <v>4</v>
      </c>
      <c r="Q49" s="0" t="n">
        <v>0</v>
      </c>
      <c r="R49" s="0" t="n">
        <v>0</v>
      </c>
      <c r="S49" s="0" t="n">
        <v>2</v>
      </c>
      <c r="T49" s="0" t="n">
        <v>1</v>
      </c>
      <c r="U49" s="0" t="n">
        <v>0</v>
      </c>
      <c r="V49" s="0" t="n">
        <v>0</v>
      </c>
      <c r="W49" s="0" t="n">
        <v>1</v>
      </c>
      <c r="X49" s="0" t="n">
        <v>0</v>
      </c>
      <c r="Y49" s="0" t="n">
        <v>1</v>
      </c>
      <c r="Z49" s="0" t="n">
        <v>0</v>
      </c>
      <c r="AA49" s="0" t="n">
        <v>0</v>
      </c>
      <c r="AB49" s="0" t="n">
        <v>0</v>
      </c>
      <c r="AC49" s="0" t="n">
        <v>0</v>
      </c>
      <c r="AD49" s="0" t="n">
        <f aca="false">SUM(Q49:AC49)</f>
        <v>5</v>
      </c>
    </row>
    <row r="50" customFormat="false" ht="15" hidden="false" customHeight="false" outlineLevel="0" collapsed="false">
      <c r="A50" s="0" t="s">
        <v>113</v>
      </c>
      <c r="B50" s="0" t="s">
        <v>114</v>
      </c>
      <c r="C50" s="0" t="n">
        <v>2</v>
      </c>
      <c r="D50" s="0" t="n">
        <v>0</v>
      </c>
      <c r="E50" s="0" t="n">
        <v>43</v>
      </c>
      <c r="F50" s="0" t="n">
        <v>15</v>
      </c>
      <c r="G50" s="0" t="n">
        <v>0</v>
      </c>
      <c r="H50" s="0" t="n">
        <v>5</v>
      </c>
      <c r="I50" s="0" t="n">
        <v>13</v>
      </c>
      <c r="J50" s="0" t="n">
        <v>0</v>
      </c>
      <c r="K50" s="0" t="n">
        <v>3</v>
      </c>
      <c r="L50" s="0" t="n">
        <v>3</v>
      </c>
      <c r="M50" s="0" t="n">
        <v>0</v>
      </c>
      <c r="N50" s="0" t="n">
        <v>3</v>
      </c>
      <c r="O50" s="0" t="n">
        <v>3</v>
      </c>
      <c r="P50" s="0" t="n">
        <f aca="false">SUM(C50:O50)</f>
        <v>90</v>
      </c>
      <c r="Q50" s="0" t="n">
        <v>2</v>
      </c>
      <c r="R50" s="0" t="n">
        <v>1</v>
      </c>
      <c r="S50" s="0" t="n">
        <v>42</v>
      </c>
      <c r="T50" s="0" t="n">
        <v>16</v>
      </c>
      <c r="U50" s="0" t="n">
        <v>0</v>
      </c>
      <c r="V50" s="0" t="n">
        <v>5</v>
      </c>
      <c r="W50" s="0" t="n">
        <v>14</v>
      </c>
      <c r="X50" s="0" t="n">
        <v>0</v>
      </c>
      <c r="Y50" s="0" t="n">
        <v>1</v>
      </c>
      <c r="Z50" s="0" t="n">
        <v>5</v>
      </c>
      <c r="AA50" s="0" t="n">
        <v>0</v>
      </c>
      <c r="AB50" s="0" t="n">
        <v>2</v>
      </c>
      <c r="AC50" s="0" t="n">
        <v>4</v>
      </c>
      <c r="AD50" s="0" t="n">
        <f aca="false">SUM(Q50:AC50)</f>
        <v>92</v>
      </c>
    </row>
    <row r="51" customFormat="false" ht="15" hidden="false" customHeight="false" outlineLevel="0" collapsed="false">
      <c r="A51" s="0" t="s">
        <v>115</v>
      </c>
      <c r="B51" s="0" t="s">
        <v>116</v>
      </c>
      <c r="C51" s="0" t="n">
        <v>0</v>
      </c>
      <c r="D51" s="0" t="n">
        <v>0</v>
      </c>
      <c r="E51" s="0" t="n">
        <v>6</v>
      </c>
      <c r="F51" s="0" t="n">
        <v>1</v>
      </c>
      <c r="G51" s="0" t="n">
        <v>0</v>
      </c>
      <c r="H51" s="0" t="n">
        <v>0</v>
      </c>
      <c r="I51" s="0" t="n">
        <v>1</v>
      </c>
      <c r="J51" s="0" t="n">
        <v>0</v>
      </c>
      <c r="K51" s="0" t="n">
        <v>0</v>
      </c>
      <c r="L51" s="0" t="n">
        <v>1</v>
      </c>
      <c r="M51" s="0" t="n">
        <v>0</v>
      </c>
      <c r="N51" s="0" t="n">
        <v>0</v>
      </c>
      <c r="O51" s="0" t="n">
        <v>1</v>
      </c>
      <c r="P51" s="0" t="n">
        <f aca="false">SUM(C51:O51)</f>
        <v>10</v>
      </c>
      <c r="Q51" s="0" t="n">
        <v>0</v>
      </c>
      <c r="R51" s="0" t="n">
        <v>0</v>
      </c>
      <c r="S51" s="0" t="n">
        <v>6</v>
      </c>
      <c r="T51" s="0" t="n">
        <v>1</v>
      </c>
      <c r="U51" s="0" t="n">
        <v>0</v>
      </c>
      <c r="V51" s="0" t="n">
        <v>0</v>
      </c>
      <c r="W51" s="0" t="n">
        <v>1</v>
      </c>
      <c r="X51" s="0" t="n">
        <v>0</v>
      </c>
      <c r="Y51" s="0" t="n">
        <v>0</v>
      </c>
      <c r="Z51" s="0" t="n">
        <v>1</v>
      </c>
      <c r="AA51" s="0" t="n">
        <v>0</v>
      </c>
      <c r="AB51" s="0" t="n">
        <v>0</v>
      </c>
      <c r="AC51" s="0" t="n">
        <v>1</v>
      </c>
      <c r="AD51" s="0" t="n">
        <f aca="false">SUM(Q51:AC51)</f>
        <v>10</v>
      </c>
    </row>
    <row r="52" customFormat="false" ht="15" hidden="false" customHeight="false" outlineLevel="0" collapsed="false">
      <c r="A52" s="0" t="s">
        <v>117</v>
      </c>
      <c r="B52" s="0" t="s">
        <v>118</v>
      </c>
      <c r="C52" s="0" t="n">
        <v>0</v>
      </c>
      <c r="D52" s="0" t="n">
        <v>0</v>
      </c>
      <c r="E52" s="0" t="n">
        <v>2</v>
      </c>
      <c r="F52" s="0" t="n">
        <v>0</v>
      </c>
      <c r="G52" s="0" t="n">
        <v>0</v>
      </c>
      <c r="H52" s="0" t="n">
        <v>0</v>
      </c>
      <c r="I52" s="0" t="n">
        <v>1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f aca="false">SUM(C52:O52)</f>
        <v>3</v>
      </c>
      <c r="Q52" s="0" t="n">
        <v>0</v>
      </c>
      <c r="R52" s="0" t="n">
        <v>0</v>
      </c>
      <c r="S52" s="0" t="n">
        <v>2</v>
      </c>
      <c r="T52" s="0" t="n">
        <v>1</v>
      </c>
      <c r="U52" s="0" t="n">
        <v>0</v>
      </c>
      <c r="V52" s="0" t="n">
        <v>0</v>
      </c>
      <c r="W52" s="0" t="n">
        <v>1</v>
      </c>
      <c r="X52" s="0" t="n">
        <v>0</v>
      </c>
      <c r="Y52" s="0" t="n">
        <v>0</v>
      </c>
      <c r="Z52" s="0" t="n">
        <v>0</v>
      </c>
      <c r="AA52" s="0" t="n">
        <v>0</v>
      </c>
      <c r="AB52" s="0" t="n">
        <v>0</v>
      </c>
      <c r="AC52" s="0" t="n">
        <v>0</v>
      </c>
      <c r="AD52" s="0" t="n">
        <f aca="false">SUM(Q52:AC52)</f>
        <v>4</v>
      </c>
    </row>
    <row r="53" customFormat="false" ht="15" hidden="false" customHeight="false" outlineLevel="0" collapsed="false">
      <c r="A53" s="0" t="s">
        <v>119</v>
      </c>
      <c r="B53" s="0" t="s">
        <v>120</v>
      </c>
      <c r="C53" s="0" t="n">
        <v>1</v>
      </c>
      <c r="D53" s="0" t="n">
        <v>0</v>
      </c>
      <c r="E53" s="0" t="n">
        <v>2</v>
      </c>
      <c r="F53" s="0" t="n">
        <v>1</v>
      </c>
      <c r="G53" s="0" t="n">
        <v>0</v>
      </c>
      <c r="H53" s="0" t="n">
        <v>1</v>
      </c>
      <c r="I53" s="0" t="n">
        <v>1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1</v>
      </c>
      <c r="P53" s="0" t="n">
        <f aca="false">SUM(C53:O53)</f>
        <v>7</v>
      </c>
      <c r="Q53" s="0" t="n">
        <v>1</v>
      </c>
      <c r="R53" s="0" t="n">
        <v>0</v>
      </c>
      <c r="S53" s="0" t="n">
        <v>2</v>
      </c>
      <c r="T53" s="0" t="n">
        <v>1</v>
      </c>
      <c r="U53" s="0" t="n">
        <v>0</v>
      </c>
      <c r="V53" s="0" t="n">
        <v>1</v>
      </c>
      <c r="W53" s="0" t="n">
        <v>1</v>
      </c>
      <c r="X53" s="0" t="n">
        <v>0</v>
      </c>
      <c r="Y53" s="0" t="n">
        <v>0</v>
      </c>
      <c r="Z53" s="0" t="n">
        <v>0</v>
      </c>
      <c r="AA53" s="0" t="n">
        <v>0</v>
      </c>
      <c r="AB53" s="0" t="n">
        <v>0</v>
      </c>
      <c r="AC53" s="0" t="n">
        <v>1</v>
      </c>
      <c r="AD53" s="0" t="n">
        <f aca="false">SUM(Q53:AC53)</f>
        <v>7</v>
      </c>
    </row>
    <row r="54" customFormat="false" ht="15" hidden="false" customHeight="false" outlineLevel="0" collapsed="false">
      <c r="A54" s="0" t="s">
        <v>121</v>
      </c>
      <c r="B54" s="0" t="s">
        <v>122</v>
      </c>
      <c r="C54" s="0" t="n">
        <v>2</v>
      </c>
      <c r="D54" s="0" t="n">
        <v>0</v>
      </c>
      <c r="E54" s="0" t="n">
        <v>33</v>
      </c>
      <c r="F54" s="0" t="n">
        <v>6</v>
      </c>
      <c r="G54" s="0" t="n">
        <v>0</v>
      </c>
      <c r="H54" s="0" t="n">
        <v>7</v>
      </c>
      <c r="I54" s="0" t="n">
        <v>7</v>
      </c>
      <c r="J54" s="0" t="n">
        <v>0</v>
      </c>
      <c r="K54" s="0" t="n">
        <v>3</v>
      </c>
      <c r="L54" s="0" t="n">
        <v>1</v>
      </c>
      <c r="M54" s="0" t="n">
        <v>0</v>
      </c>
      <c r="N54" s="0" t="n">
        <v>1</v>
      </c>
      <c r="O54" s="0" t="n">
        <v>0</v>
      </c>
      <c r="P54" s="0" t="n">
        <f aca="false">SUM(C54:O54)</f>
        <v>60</v>
      </c>
      <c r="Q54" s="0" t="n">
        <v>3</v>
      </c>
      <c r="R54" s="0" t="n">
        <v>0</v>
      </c>
      <c r="S54" s="0" t="n">
        <v>32</v>
      </c>
      <c r="T54" s="0" t="n">
        <v>6</v>
      </c>
      <c r="U54" s="0" t="n">
        <v>0</v>
      </c>
      <c r="V54" s="0" t="n">
        <v>7</v>
      </c>
      <c r="W54" s="0" t="n">
        <v>6</v>
      </c>
      <c r="X54" s="0" t="n">
        <v>0</v>
      </c>
      <c r="Y54" s="0" t="n">
        <v>3</v>
      </c>
      <c r="Z54" s="0" t="n">
        <v>1</v>
      </c>
      <c r="AA54" s="0" t="n">
        <v>0</v>
      </c>
      <c r="AB54" s="0" t="n">
        <v>1</v>
      </c>
      <c r="AC54" s="0" t="n">
        <v>0</v>
      </c>
      <c r="AD54" s="0" t="n">
        <f aca="false">SUM(Q54:AC54)</f>
        <v>59</v>
      </c>
    </row>
    <row r="55" customFormat="false" ht="15" hidden="false" customHeight="false" outlineLevel="0" collapsed="false">
      <c r="A55" s="0" t="s">
        <v>123</v>
      </c>
      <c r="B55" s="0" t="s">
        <v>124</v>
      </c>
      <c r="C55" s="0" t="n">
        <v>0</v>
      </c>
      <c r="D55" s="0" t="n">
        <v>0</v>
      </c>
      <c r="E55" s="0" t="n">
        <v>18</v>
      </c>
      <c r="F55" s="0" t="n">
        <v>0</v>
      </c>
      <c r="G55" s="0" t="n">
        <v>0</v>
      </c>
      <c r="H55" s="0" t="n">
        <v>0</v>
      </c>
      <c r="I55" s="0" t="n">
        <v>2</v>
      </c>
      <c r="J55" s="0" t="n">
        <v>0</v>
      </c>
      <c r="K55" s="0" t="n">
        <v>0</v>
      </c>
      <c r="L55" s="0" t="n">
        <v>1</v>
      </c>
      <c r="M55" s="0" t="n">
        <v>0</v>
      </c>
      <c r="N55" s="0" t="n">
        <v>2</v>
      </c>
      <c r="O55" s="0" t="n">
        <v>1</v>
      </c>
      <c r="P55" s="0" t="n">
        <f aca="false">SUM(C55:O55)</f>
        <v>24</v>
      </c>
      <c r="Q55" s="0" t="n">
        <v>0</v>
      </c>
      <c r="R55" s="0" t="n">
        <v>0</v>
      </c>
      <c r="S55" s="0" t="n">
        <v>17</v>
      </c>
      <c r="T55" s="0" t="n">
        <v>0</v>
      </c>
      <c r="U55" s="0" t="n">
        <v>0</v>
      </c>
      <c r="V55" s="0" t="n">
        <v>0</v>
      </c>
      <c r="W55" s="0" t="n">
        <v>2</v>
      </c>
      <c r="X55" s="0" t="n">
        <v>0</v>
      </c>
      <c r="Y55" s="0" t="n">
        <v>0</v>
      </c>
      <c r="Z55" s="0" t="n">
        <v>1</v>
      </c>
      <c r="AA55" s="0" t="n">
        <v>0</v>
      </c>
      <c r="AB55" s="0" t="n">
        <v>1</v>
      </c>
      <c r="AC55" s="0" t="n">
        <v>1</v>
      </c>
      <c r="AD55" s="0" t="n">
        <f aca="false">SUM(Q55:AC55)</f>
        <v>22</v>
      </c>
    </row>
    <row r="56" customFormat="false" ht="15" hidden="false" customHeight="false" outlineLevel="0" collapsed="false">
      <c r="A56" s="0" t="s">
        <v>125</v>
      </c>
      <c r="B56" s="0" t="s">
        <v>126</v>
      </c>
      <c r="C56" s="0" t="n">
        <v>1</v>
      </c>
      <c r="D56" s="0" t="n">
        <v>0</v>
      </c>
      <c r="E56" s="0" t="n">
        <v>22</v>
      </c>
      <c r="F56" s="0" t="n">
        <v>5</v>
      </c>
      <c r="G56" s="0" t="n">
        <v>0</v>
      </c>
      <c r="H56" s="0" t="n">
        <v>1</v>
      </c>
      <c r="I56" s="0" t="n">
        <v>4</v>
      </c>
      <c r="J56" s="0" t="n">
        <v>0</v>
      </c>
      <c r="K56" s="0" t="n">
        <v>2</v>
      </c>
      <c r="L56" s="0" t="n">
        <v>2</v>
      </c>
      <c r="M56" s="0" t="n">
        <v>0</v>
      </c>
      <c r="N56" s="0" t="n">
        <v>0</v>
      </c>
      <c r="O56" s="0" t="n">
        <v>4</v>
      </c>
      <c r="P56" s="0" t="n">
        <f aca="false">SUM(C56:O56)</f>
        <v>41</v>
      </c>
      <c r="Q56" s="0" t="n">
        <v>1</v>
      </c>
      <c r="R56" s="0" t="n">
        <v>0</v>
      </c>
      <c r="S56" s="0" t="n">
        <v>18</v>
      </c>
      <c r="T56" s="0" t="n">
        <v>5</v>
      </c>
      <c r="U56" s="0" t="n">
        <v>0</v>
      </c>
      <c r="V56" s="0" t="n">
        <v>1</v>
      </c>
      <c r="W56" s="0" t="n">
        <v>5</v>
      </c>
      <c r="X56" s="0" t="n">
        <v>1</v>
      </c>
      <c r="Y56" s="0" t="n">
        <v>1</v>
      </c>
      <c r="Z56" s="0" t="n">
        <v>2</v>
      </c>
      <c r="AA56" s="0" t="n">
        <v>0</v>
      </c>
      <c r="AB56" s="0" t="n">
        <v>0</v>
      </c>
      <c r="AC56" s="0" t="n">
        <v>4</v>
      </c>
      <c r="AD56" s="0" t="n">
        <f aca="false">SUM(Q56:AC56)</f>
        <v>38</v>
      </c>
    </row>
    <row r="57" customFormat="false" ht="15" hidden="false" customHeight="false" outlineLevel="0" collapsed="false">
      <c r="A57" s="0" t="s">
        <v>127</v>
      </c>
      <c r="B57" s="0" t="s">
        <v>128</v>
      </c>
      <c r="C57" s="0" t="n">
        <v>9</v>
      </c>
      <c r="D57" s="0" t="n">
        <v>0</v>
      </c>
      <c r="E57" s="0" t="n">
        <v>14</v>
      </c>
      <c r="F57" s="0" t="n">
        <v>4</v>
      </c>
      <c r="G57" s="0" t="n">
        <v>1</v>
      </c>
      <c r="H57" s="0" t="n">
        <v>0</v>
      </c>
      <c r="I57" s="0" t="n">
        <v>6</v>
      </c>
      <c r="J57" s="0" t="n">
        <v>4</v>
      </c>
      <c r="K57" s="0" t="n">
        <v>1</v>
      </c>
      <c r="L57" s="0" t="n">
        <v>0</v>
      </c>
      <c r="M57" s="0" t="n">
        <v>0</v>
      </c>
      <c r="N57" s="0" t="n">
        <v>0</v>
      </c>
      <c r="O57" s="0" t="n">
        <v>2</v>
      </c>
      <c r="P57" s="0" t="n">
        <f aca="false">SUM(C57:O57)</f>
        <v>41</v>
      </c>
      <c r="Q57" s="0" t="n">
        <v>9</v>
      </c>
      <c r="R57" s="0" t="n">
        <v>0</v>
      </c>
      <c r="S57" s="0" t="n">
        <v>15</v>
      </c>
      <c r="T57" s="0" t="n">
        <v>4</v>
      </c>
      <c r="U57" s="0" t="n">
        <v>1</v>
      </c>
      <c r="V57" s="0" t="n">
        <v>1</v>
      </c>
      <c r="W57" s="0" t="n">
        <v>7</v>
      </c>
      <c r="X57" s="0" t="n">
        <v>4</v>
      </c>
      <c r="Y57" s="0" t="n">
        <v>1</v>
      </c>
      <c r="Z57" s="0" t="n">
        <v>0</v>
      </c>
      <c r="AA57" s="0" t="n">
        <v>0</v>
      </c>
      <c r="AB57" s="0" t="n">
        <v>0</v>
      </c>
      <c r="AC57" s="0" t="n">
        <v>2</v>
      </c>
      <c r="AD57" s="0" t="n">
        <f aca="false">SUM(Q57:AC57)</f>
        <v>44</v>
      </c>
    </row>
    <row r="58" customFormat="false" ht="15" hidden="false" customHeight="false" outlineLevel="0" collapsed="false">
      <c r="A58" s="0" t="s">
        <v>129</v>
      </c>
      <c r="B58" s="0" t="s">
        <v>130</v>
      </c>
      <c r="C58" s="0" t="n">
        <v>1</v>
      </c>
      <c r="D58" s="0" t="n">
        <v>1</v>
      </c>
      <c r="E58" s="0" t="n">
        <v>8</v>
      </c>
      <c r="F58" s="0" t="n">
        <v>2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2</v>
      </c>
      <c r="L58" s="0" t="n">
        <v>1</v>
      </c>
      <c r="M58" s="0" t="n">
        <v>0</v>
      </c>
      <c r="N58" s="0" t="n">
        <v>0</v>
      </c>
      <c r="O58" s="0" t="n">
        <v>0</v>
      </c>
      <c r="P58" s="0" t="n">
        <f aca="false">SUM(C58:O58)</f>
        <v>15</v>
      </c>
      <c r="Q58" s="0" t="n">
        <v>1</v>
      </c>
      <c r="R58" s="0" t="n">
        <v>1</v>
      </c>
      <c r="S58" s="0" t="n">
        <v>8</v>
      </c>
      <c r="T58" s="0" t="n">
        <v>2</v>
      </c>
      <c r="U58" s="0" t="n">
        <v>0</v>
      </c>
      <c r="V58" s="0" t="n">
        <v>0</v>
      </c>
      <c r="W58" s="0" t="n">
        <v>0</v>
      </c>
      <c r="X58" s="0" t="n">
        <v>0</v>
      </c>
      <c r="Y58" s="0" t="n">
        <v>1</v>
      </c>
      <c r="Z58" s="0" t="n">
        <v>1</v>
      </c>
      <c r="AA58" s="0" t="n">
        <v>0</v>
      </c>
      <c r="AB58" s="0" t="n">
        <v>0</v>
      </c>
      <c r="AC58" s="0" t="n">
        <v>0</v>
      </c>
      <c r="AD58" s="0" t="n">
        <f aca="false">SUM(Q58:AC58)</f>
        <v>14</v>
      </c>
    </row>
    <row r="59" customFormat="false" ht="15" hidden="false" customHeight="false" outlineLevel="0" collapsed="false">
      <c r="A59" s="0" t="s">
        <v>131</v>
      </c>
      <c r="B59" s="0" t="s">
        <v>132</v>
      </c>
      <c r="C59" s="0" t="n">
        <v>1</v>
      </c>
      <c r="D59" s="0" t="n">
        <v>0</v>
      </c>
      <c r="E59" s="0" t="n">
        <v>10</v>
      </c>
      <c r="F59" s="0" t="n">
        <v>3</v>
      </c>
      <c r="G59" s="0" t="n">
        <v>0</v>
      </c>
      <c r="H59" s="0" t="n">
        <v>0</v>
      </c>
      <c r="I59" s="0" t="n">
        <v>1</v>
      </c>
      <c r="J59" s="0" t="n">
        <v>0</v>
      </c>
      <c r="K59" s="0" t="n">
        <v>1</v>
      </c>
      <c r="L59" s="0" t="n">
        <v>1</v>
      </c>
      <c r="M59" s="0" t="n">
        <v>0</v>
      </c>
      <c r="N59" s="0" t="n">
        <v>0</v>
      </c>
      <c r="O59" s="0" t="n">
        <v>0</v>
      </c>
      <c r="P59" s="0" t="n">
        <f aca="false">SUM(C59:O59)</f>
        <v>17</v>
      </c>
      <c r="Q59" s="0" t="n">
        <v>0</v>
      </c>
      <c r="R59" s="0" t="n">
        <v>0</v>
      </c>
      <c r="S59" s="0" t="n">
        <v>11</v>
      </c>
      <c r="T59" s="0" t="n">
        <v>1</v>
      </c>
      <c r="U59" s="0" t="n">
        <v>0</v>
      </c>
      <c r="V59" s="0" t="n">
        <v>0</v>
      </c>
      <c r="W59" s="0" t="n">
        <v>2</v>
      </c>
      <c r="X59" s="0" t="n">
        <v>0</v>
      </c>
      <c r="Y59" s="0" t="n">
        <v>1</v>
      </c>
      <c r="Z59" s="0" t="n">
        <v>0</v>
      </c>
      <c r="AA59" s="0" t="n">
        <v>0</v>
      </c>
      <c r="AB59" s="0" t="n">
        <v>0</v>
      </c>
      <c r="AC59" s="0" t="n">
        <v>0</v>
      </c>
      <c r="AD59" s="0" t="n">
        <f aca="false">SUM(Q59:AC59)</f>
        <v>15</v>
      </c>
    </row>
    <row r="60" customFormat="false" ht="15" hidden="false" customHeight="false" outlineLevel="0" collapsed="false">
      <c r="A60" s="0" t="s">
        <v>133</v>
      </c>
      <c r="B60" s="0" t="s">
        <v>134</v>
      </c>
      <c r="C60" s="0" t="n">
        <v>0</v>
      </c>
      <c r="D60" s="0" t="n">
        <v>1</v>
      </c>
      <c r="E60" s="0" t="n">
        <v>12</v>
      </c>
      <c r="F60" s="0" t="n">
        <v>7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1</v>
      </c>
      <c r="L60" s="0" t="n">
        <v>0</v>
      </c>
      <c r="M60" s="0" t="n">
        <v>0</v>
      </c>
      <c r="N60" s="0" t="n">
        <v>1</v>
      </c>
      <c r="O60" s="0" t="n">
        <v>0</v>
      </c>
      <c r="P60" s="0" t="n">
        <f aca="false">SUM(C60:O60)</f>
        <v>22</v>
      </c>
      <c r="Q60" s="0" t="n">
        <v>0</v>
      </c>
      <c r="R60" s="0" t="n">
        <v>1</v>
      </c>
      <c r="S60" s="0" t="n">
        <v>13</v>
      </c>
      <c r="T60" s="0" t="n">
        <v>7</v>
      </c>
      <c r="U60" s="0" t="n">
        <v>0</v>
      </c>
      <c r="V60" s="0" t="n">
        <v>0</v>
      </c>
      <c r="W60" s="0" t="n">
        <v>0</v>
      </c>
      <c r="X60" s="0" t="n">
        <v>0</v>
      </c>
      <c r="Y60" s="0" t="n">
        <v>0</v>
      </c>
      <c r="Z60" s="0" t="n">
        <v>0</v>
      </c>
      <c r="AA60" s="0" t="n">
        <v>0</v>
      </c>
      <c r="AB60" s="0" t="n">
        <v>0</v>
      </c>
      <c r="AC60" s="0" t="n">
        <v>0</v>
      </c>
      <c r="AD60" s="0" t="n">
        <f aca="false">SUM(Q60:AC60)</f>
        <v>21</v>
      </c>
    </row>
    <row r="61" customFormat="false" ht="15" hidden="false" customHeight="false" outlineLevel="0" collapsed="false">
      <c r="A61" s="0" t="s">
        <v>135</v>
      </c>
      <c r="B61" s="0" t="s">
        <v>136</v>
      </c>
      <c r="C61" s="0" t="n">
        <v>0</v>
      </c>
      <c r="D61" s="0" t="n">
        <v>0</v>
      </c>
      <c r="E61" s="0" t="n">
        <v>6</v>
      </c>
      <c r="F61" s="0" t="n">
        <v>0</v>
      </c>
      <c r="G61" s="0" t="n">
        <v>0</v>
      </c>
      <c r="H61" s="0" t="n">
        <v>0</v>
      </c>
      <c r="I61" s="0" t="n">
        <v>2</v>
      </c>
      <c r="J61" s="0" t="n">
        <v>0</v>
      </c>
      <c r="K61" s="0" t="n">
        <v>1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f aca="false">SUM(C61:O61)</f>
        <v>9</v>
      </c>
      <c r="Q61" s="0" t="n">
        <v>0</v>
      </c>
      <c r="R61" s="0" t="n">
        <v>0</v>
      </c>
      <c r="S61" s="0" t="n">
        <v>5</v>
      </c>
      <c r="T61" s="0" t="n">
        <v>0</v>
      </c>
      <c r="U61" s="0" t="n">
        <v>0</v>
      </c>
      <c r="V61" s="0" t="n">
        <v>0</v>
      </c>
      <c r="W61" s="0" t="n">
        <v>1</v>
      </c>
      <c r="X61" s="0" t="n">
        <v>0</v>
      </c>
      <c r="Y61" s="0" t="n">
        <v>1</v>
      </c>
      <c r="Z61" s="0" t="n">
        <v>0</v>
      </c>
      <c r="AA61" s="0" t="n">
        <v>0</v>
      </c>
      <c r="AB61" s="0" t="n">
        <v>0</v>
      </c>
      <c r="AC61" s="0" t="n">
        <v>0</v>
      </c>
      <c r="AD61" s="0" t="n">
        <f aca="false">SUM(Q61:AC61)</f>
        <v>7</v>
      </c>
    </row>
    <row r="62" customFormat="false" ht="15" hidden="false" customHeight="false" outlineLevel="0" collapsed="false">
      <c r="A62" s="0" t="s">
        <v>137</v>
      </c>
      <c r="B62" s="0" t="s">
        <v>138</v>
      </c>
      <c r="C62" s="0" t="n">
        <v>0</v>
      </c>
      <c r="D62" s="0" t="n">
        <v>0</v>
      </c>
      <c r="E62" s="0" t="n">
        <v>4</v>
      </c>
      <c r="F62" s="0" t="n">
        <v>1</v>
      </c>
      <c r="G62" s="0" t="n">
        <v>0</v>
      </c>
      <c r="H62" s="0" t="n">
        <v>0</v>
      </c>
      <c r="I62" s="0" t="n">
        <v>2</v>
      </c>
      <c r="J62" s="0" t="n">
        <v>0</v>
      </c>
      <c r="K62" s="0" t="n">
        <v>1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f aca="false">SUM(C62:O62)</f>
        <v>8</v>
      </c>
      <c r="Q62" s="0" t="n">
        <v>0</v>
      </c>
      <c r="R62" s="0" t="n">
        <v>0</v>
      </c>
      <c r="S62" s="0" t="n">
        <v>4</v>
      </c>
      <c r="T62" s="0" t="n">
        <v>1</v>
      </c>
      <c r="U62" s="0" t="n">
        <v>0</v>
      </c>
      <c r="V62" s="0" t="n">
        <v>0</v>
      </c>
      <c r="W62" s="0" t="n">
        <v>2</v>
      </c>
      <c r="X62" s="0" t="n">
        <v>0</v>
      </c>
      <c r="Y62" s="0" t="n">
        <v>0</v>
      </c>
      <c r="Z62" s="0" t="n">
        <v>0</v>
      </c>
      <c r="AA62" s="0" t="n">
        <v>0</v>
      </c>
      <c r="AB62" s="0" t="n">
        <v>0</v>
      </c>
      <c r="AC62" s="0" t="n">
        <v>0</v>
      </c>
      <c r="AD62" s="0" t="n">
        <f aca="false">SUM(Q62:AC62)</f>
        <v>7</v>
      </c>
    </row>
    <row r="63" customFormat="false" ht="15" hidden="false" customHeight="false" outlineLevel="0" collapsed="false">
      <c r="A63" s="0" t="s">
        <v>139</v>
      </c>
      <c r="B63" s="0" t="s">
        <v>140</v>
      </c>
      <c r="C63" s="0" t="n">
        <v>1</v>
      </c>
      <c r="D63" s="0" t="n">
        <v>0</v>
      </c>
      <c r="E63" s="0" t="n">
        <v>13</v>
      </c>
      <c r="F63" s="0" t="n">
        <v>3</v>
      </c>
      <c r="G63" s="0" t="n">
        <v>0</v>
      </c>
      <c r="H63" s="0" t="n">
        <v>0</v>
      </c>
      <c r="I63" s="0" t="n">
        <v>1</v>
      </c>
      <c r="J63" s="0" t="n">
        <v>0</v>
      </c>
      <c r="K63" s="0" t="n">
        <v>0</v>
      </c>
      <c r="L63" s="0" t="n">
        <v>2</v>
      </c>
      <c r="M63" s="0" t="n">
        <v>0</v>
      </c>
      <c r="N63" s="0" t="n">
        <v>0</v>
      </c>
      <c r="O63" s="0" t="n">
        <v>2</v>
      </c>
      <c r="P63" s="0" t="n">
        <f aca="false">SUM(C63:O63)</f>
        <v>22</v>
      </c>
      <c r="Q63" s="0" t="n">
        <v>1</v>
      </c>
      <c r="R63" s="0" t="n">
        <v>0</v>
      </c>
      <c r="S63" s="0" t="n">
        <v>12</v>
      </c>
      <c r="T63" s="0" t="n">
        <v>4</v>
      </c>
      <c r="U63" s="0" t="n">
        <v>0</v>
      </c>
      <c r="V63" s="0" t="n">
        <v>0</v>
      </c>
      <c r="W63" s="0" t="n">
        <v>1</v>
      </c>
      <c r="X63" s="0" t="n">
        <v>0</v>
      </c>
      <c r="Y63" s="0" t="n">
        <v>0</v>
      </c>
      <c r="Z63" s="0" t="n">
        <v>2</v>
      </c>
      <c r="AA63" s="0" t="n">
        <v>0</v>
      </c>
      <c r="AB63" s="0" t="n">
        <v>0</v>
      </c>
      <c r="AC63" s="0" t="n">
        <v>2</v>
      </c>
      <c r="AD63" s="0" t="n">
        <f aca="false">SUM(Q63:AC63)</f>
        <v>22</v>
      </c>
    </row>
    <row r="64" customFormat="false" ht="15" hidden="false" customHeight="false" outlineLevel="0" collapsed="false">
      <c r="A64" s="0" t="s">
        <v>141</v>
      </c>
      <c r="B64" s="0" t="s">
        <v>142</v>
      </c>
      <c r="C64" s="0" t="n">
        <v>0</v>
      </c>
      <c r="D64" s="0" t="n">
        <v>0</v>
      </c>
      <c r="E64" s="0" t="n">
        <v>3</v>
      </c>
      <c r="F64" s="0" t="n">
        <v>0</v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1</v>
      </c>
      <c r="P64" s="0" t="n">
        <f aca="false">SUM(C64:O64)</f>
        <v>4</v>
      </c>
      <c r="Q64" s="0" t="n">
        <v>0</v>
      </c>
      <c r="R64" s="0" t="n">
        <v>0</v>
      </c>
      <c r="S64" s="0" t="n">
        <v>4</v>
      </c>
      <c r="T64" s="0" t="n">
        <v>1</v>
      </c>
      <c r="U64" s="0" t="n">
        <v>0</v>
      </c>
      <c r="V64" s="0" t="n">
        <v>0</v>
      </c>
      <c r="W64" s="0" t="n">
        <v>0</v>
      </c>
      <c r="X64" s="0" t="n">
        <v>0</v>
      </c>
      <c r="Y64" s="0" t="n">
        <v>0</v>
      </c>
      <c r="Z64" s="0" t="n">
        <v>0</v>
      </c>
      <c r="AA64" s="0" t="n">
        <v>0</v>
      </c>
      <c r="AB64" s="0" t="n">
        <v>0</v>
      </c>
      <c r="AC64" s="0" t="n">
        <v>0</v>
      </c>
      <c r="AD64" s="0" t="n">
        <f aca="false">SUM(Q64:AC64)</f>
        <v>5</v>
      </c>
    </row>
    <row r="65" customFormat="false" ht="15" hidden="false" customHeight="false" outlineLevel="0" collapsed="false">
      <c r="A65" s="0" t="s">
        <v>143</v>
      </c>
      <c r="B65" s="0" t="s">
        <v>144</v>
      </c>
      <c r="C65" s="0" t="n">
        <v>0</v>
      </c>
      <c r="D65" s="0" t="n">
        <v>0</v>
      </c>
      <c r="E65" s="0" t="n">
        <v>6</v>
      </c>
      <c r="F65" s="0" t="n">
        <v>1</v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f aca="false">SUM(C65:O65)</f>
        <v>7</v>
      </c>
      <c r="Q65" s="0" t="n">
        <v>0</v>
      </c>
      <c r="R65" s="0" t="n">
        <v>0</v>
      </c>
      <c r="S65" s="0" t="n">
        <v>6</v>
      </c>
      <c r="T65" s="0" t="n">
        <v>1</v>
      </c>
      <c r="U65" s="0" t="n">
        <v>0</v>
      </c>
      <c r="V65" s="0" t="n">
        <v>0</v>
      </c>
      <c r="W65" s="0" t="n">
        <v>0</v>
      </c>
      <c r="X65" s="0" t="n">
        <v>0</v>
      </c>
      <c r="Y65" s="0" t="n">
        <v>0</v>
      </c>
      <c r="Z65" s="0" t="n">
        <v>0</v>
      </c>
      <c r="AA65" s="0" t="n">
        <v>0</v>
      </c>
      <c r="AB65" s="0" t="n">
        <v>0</v>
      </c>
      <c r="AC65" s="0" t="n">
        <v>0</v>
      </c>
      <c r="AD65" s="0" t="n">
        <f aca="false">SUM(Q65:AC65)</f>
        <v>7</v>
      </c>
    </row>
    <row r="66" customFormat="false" ht="15" hidden="false" customHeight="false" outlineLevel="0" collapsed="false">
      <c r="A66" s="0" t="s">
        <v>145</v>
      </c>
      <c r="B66" s="0" t="s">
        <v>146</v>
      </c>
      <c r="C66" s="0" t="n">
        <v>0</v>
      </c>
      <c r="D66" s="0" t="n">
        <v>0</v>
      </c>
      <c r="E66" s="0" t="n">
        <v>1</v>
      </c>
      <c r="F66" s="0" t="n">
        <v>2</v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f aca="false">SUM(C66:O66)</f>
        <v>3</v>
      </c>
      <c r="Q66" s="0" t="n">
        <v>0</v>
      </c>
      <c r="R66" s="0" t="n">
        <v>0</v>
      </c>
      <c r="S66" s="0" t="n">
        <v>1</v>
      </c>
      <c r="T66" s="0" t="n">
        <v>0</v>
      </c>
      <c r="U66" s="0" t="n">
        <v>0</v>
      </c>
      <c r="V66" s="0" t="n">
        <v>0</v>
      </c>
      <c r="W66" s="0" t="n">
        <v>0</v>
      </c>
      <c r="X66" s="0" t="n">
        <v>0</v>
      </c>
      <c r="Y66" s="0" t="n">
        <v>1</v>
      </c>
      <c r="Z66" s="0" t="n">
        <v>0</v>
      </c>
      <c r="AA66" s="0" t="n">
        <v>0</v>
      </c>
      <c r="AB66" s="0" t="n">
        <v>0</v>
      </c>
      <c r="AC66" s="0" t="n">
        <v>0</v>
      </c>
      <c r="AD66" s="0" t="n">
        <f aca="false">SUM(Q66:AC66)</f>
        <v>2</v>
      </c>
    </row>
    <row r="67" customFormat="false" ht="15" hidden="false" customHeight="false" outlineLevel="0" collapsed="false">
      <c r="A67" s="0" t="s">
        <v>147</v>
      </c>
      <c r="B67" s="0" t="s">
        <v>148</v>
      </c>
      <c r="C67" s="0" t="n">
        <v>0</v>
      </c>
      <c r="D67" s="0" t="n">
        <v>0</v>
      </c>
      <c r="E67" s="0" t="n">
        <v>11</v>
      </c>
      <c r="F67" s="0" t="n">
        <v>1</v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1</v>
      </c>
      <c r="M67" s="0" t="n">
        <v>0</v>
      </c>
      <c r="N67" s="0" t="n">
        <v>0</v>
      </c>
      <c r="O67" s="0" t="n">
        <v>1</v>
      </c>
      <c r="P67" s="0" t="n">
        <f aca="false">SUM(C67:O67)</f>
        <v>14</v>
      </c>
      <c r="Q67" s="0" t="n">
        <v>0</v>
      </c>
      <c r="R67" s="0" t="n">
        <v>0</v>
      </c>
      <c r="S67" s="0" t="n">
        <v>13</v>
      </c>
      <c r="T67" s="0" t="n">
        <v>2</v>
      </c>
      <c r="U67" s="0" t="n">
        <v>0</v>
      </c>
      <c r="V67" s="0" t="n">
        <v>0</v>
      </c>
      <c r="W67" s="0" t="n">
        <v>0</v>
      </c>
      <c r="X67" s="0" t="n">
        <v>0</v>
      </c>
      <c r="Y67" s="0" t="n">
        <v>0</v>
      </c>
      <c r="Z67" s="0" t="n">
        <v>1</v>
      </c>
      <c r="AA67" s="0" t="n">
        <v>0</v>
      </c>
      <c r="AB67" s="0" t="n">
        <v>0</v>
      </c>
      <c r="AC67" s="0" t="n">
        <v>0</v>
      </c>
      <c r="AD67" s="0" t="n">
        <f aca="false">SUM(Q67:AC67)</f>
        <v>16</v>
      </c>
    </row>
    <row r="68" customFormat="false" ht="15" hidden="false" customHeight="false" outlineLevel="0" collapsed="false">
      <c r="A68" s="0" t="s">
        <v>149</v>
      </c>
      <c r="B68" s="0" t="s">
        <v>150</v>
      </c>
      <c r="C68" s="0" t="n">
        <v>0</v>
      </c>
      <c r="D68" s="0" t="n">
        <v>0</v>
      </c>
      <c r="E68" s="0" t="n">
        <v>16</v>
      </c>
      <c r="F68" s="0" t="n">
        <v>3</v>
      </c>
      <c r="G68" s="0" t="n">
        <v>0</v>
      </c>
      <c r="H68" s="0" t="n">
        <v>0</v>
      </c>
      <c r="I68" s="0" t="n">
        <v>4</v>
      </c>
      <c r="J68" s="0" t="n">
        <v>1</v>
      </c>
      <c r="K68" s="0" t="n">
        <v>2</v>
      </c>
      <c r="L68" s="0" t="n">
        <v>0</v>
      </c>
      <c r="M68" s="0" t="n">
        <v>0</v>
      </c>
      <c r="N68" s="0" t="n">
        <v>0</v>
      </c>
      <c r="O68" s="0" t="n">
        <v>2</v>
      </c>
      <c r="P68" s="0" t="n">
        <f aca="false">SUM(C68:O68)</f>
        <v>28</v>
      </c>
      <c r="Q68" s="0" t="n">
        <v>0</v>
      </c>
      <c r="R68" s="0" t="n">
        <v>0</v>
      </c>
      <c r="S68" s="0" t="n">
        <v>19</v>
      </c>
      <c r="T68" s="0" t="n">
        <v>4</v>
      </c>
      <c r="U68" s="0" t="n">
        <v>0</v>
      </c>
      <c r="V68" s="0" t="n">
        <v>0</v>
      </c>
      <c r="W68" s="0" t="n">
        <v>5</v>
      </c>
      <c r="X68" s="0" t="n">
        <v>1</v>
      </c>
      <c r="Y68" s="0" t="n">
        <v>1</v>
      </c>
      <c r="Z68" s="0" t="n">
        <v>0</v>
      </c>
      <c r="AA68" s="0" t="n">
        <v>0</v>
      </c>
      <c r="AB68" s="0" t="n">
        <v>0</v>
      </c>
      <c r="AC68" s="0" t="n">
        <v>2</v>
      </c>
      <c r="AD68" s="0" t="n">
        <f aca="false">SUM(Q68:AC68)</f>
        <v>32</v>
      </c>
    </row>
    <row r="69" customFormat="false" ht="15" hidden="false" customHeight="false" outlineLevel="0" collapsed="false">
      <c r="A69" s="0" t="s">
        <v>151</v>
      </c>
      <c r="B69" s="0" t="s">
        <v>152</v>
      </c>
      <c r="C69" s="0" t="n">
        <v>0</v>
      </c>
      <c r="D69" s="0" t="n">
        <v>0</v>
      </c>
      <c r="E69" s="0" t="n">
        <v>1</v>
      </c>
      <c r="F69" s="0" t="n">
        <v>0</v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1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f aca="false">SUM(C69:O69)</f>
        <v>2</v>
      </c>
      <c r="Q69" s="0" t="n">
        <v>0</v>
      </c>
      <c r="R69" s="0" t="n">
        <v>0</v>
      </c>
      <c r="S69" s="0" t="n">
        <v>1</v>
      </c>
      <c r="T69" s="0" t="n">
        <v>0</v>
      </c>
      <c r="U69" s="0" t="n">
        <v>0</v>
      </c>
      <c r="V69" s="0" t="n">
        <v>0</v>
      </c>
      <c r="W69" s="0" t="n">
        <v>0</v>
      </c>
      <c r="X69" s="0" t="n">
        <v>0</v>
      </c>
      <c r="Y69" s="0" t="n">
        <v>1</v>
      </c>
      <c r="Z69" s="0" t="n">
        <v>0</v>
      </c>
      <c r="AA69" s="0" t="n">
        <v>0</v>
      </c>
      <c r="AB69" s="0" t="n">
        <v>0</v>
      </c>
      <c r="AC69" s="0" t="n">
        <v>0</v>
      </c>
      <c r="AD69" s="0" t="n">
        <f aca="false">SUM(Q69:AC69)</f>
        <v>2</v>
      </c>
    </row>
    <row r="70" customFormat="false" ht="15" hidden="false" customHeight="false" outlineLevel="0" collapsed="false">
      <c r="A70" s="0" t="s">
        <v>153</v>
      </c>
      <c r="B70" s="0" t="s">
        <v>154</v>
      </c>
      <c r="C70" s="0" t="n">
        <v>0</v>
      </c>
      <c r="D70" s="0" t="n">
        <v>1</v>
      </c>
      <c r="E70" s="0" t="n">
        <v>6</v>
      </c>
      <c r="F70" s="0" t="n">
        <v>1</v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f aca="false">SUM(C70:O70)</f>
        <v>8</v>
      </c>
      <c r="Q70" s="0" t="n">
        <v>0</v>
      </c>
      <c r="R70" s="0" t="n">
        <v>0</v>
      </c>
      <c r="S70" s="0" t="n">
        <v>7</v>
      </c>
      <c r="T70" s="0" t="n">
        <v>1</v>
      </c>
      <c r="U70" s="0" t="n">
        <v>0</v>
      </c>
      <c r="V70" s="0" t="n">
        <v>0</v>
      </c>
      <c r="W70" s="0" t="n">
        <v>0</v>
      </c>
      <c r="X70" s="0" t="n">
        <v>0</v>
      </c>
      <c r="Y70" s="0" t="n">
        <v>1</v>
      </c>
      <c r="Z70" s="0" t="n">
        <v>0</v>
      </c>
      <c r="AA70" s="0" t="n">
        <v>0</v>
      </c>
      <c r="AB70" s="0" t="n">
        <v>0</v>
      </c>
      <c r="AC70" s="0" t="n">
        <v>0</v>
      </c>
      <c r="AD70" s="0" t="n">
        <f aca="false">SUM(Q70:AC70)</f>
        <v>9</v>
      </c>
    </row>
    <row r="71" customFormat="false" ht="15" hidden="false" customHeight="false" outlineLevel="0" collapsed="false">
      <c r="A71" s="0" t="s">
        <v>155</v>
      </c>
      <c r="B71" s="0" t="s">
        <v>156</v>
      </c>
      <c r="C71" s="0" t="n">
        <v>0</v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f aca="false">SUM(C71:O71)</f>
        <v>0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0</v>
      </c>
      <c r="V71" s="0" t="n">
        <v>0</v>
      </c>
      <c r="W71" s="0" t="n">
        <v>0</v>
      </c>
      <c r="X71" s="0" t="n">
        <v>0</v>
      </c>
      <c r="Y71" s="0" t="n">
        <v>0</v>
      </c>
      <c r="Z71" s="0" t="n">
        <v>0</v>
      </c>
      <c r="AA71" s="0" t="n">
        <v>0</v>
      </c>
      <c r="AB71" s="0" t="n">
        <v>0</v>
      </c>
      <c r="AC71" s="0" t="n">
        <v>2</v>
      </c>
      <c r="AD71" s="0" t="n">
        <f aca="false">SUM(Q71:AC71)</f>
        <v>2</v>
      </c>
    </row>
    <row r="72" customFormat="false" ht="15" hidden="false" customHeight="false" outlineLevel="0" collapsed="false">
      <c r="A72" s="0" t="s">
        <v>157</v>
      </c>
      <c r="B72" s="0" t="s">
        <v>158</v>
      </c>
      <c r="C72" s="0" t="n">
        <v>0</v>
      </c>
      <c r="D72" s="0" t="n">
        <v>0</v>
      </c>
      <c r="E72" s="0" t="n">
        <v>8</v>
      </c>
      <c r="F72" s="0" t="n">
        <v>2</v>
      </c>
      <c r="G72" s="0" t="n">
        <v>0</v>
      </c>
      <c r="H72" s="0" t="n">
        <v>0</v>
      </c>
      <c r="I72" s="0" t="n">
        <v>2</v>
      </c>
      <c r="J72" s="0" t="n">
        <v>0</v>
      </c>
      <c r="K72" s="0" t="n">
        <v>1</v>
      </c>
      <c r="L72" s="0" t="n">
        <v>2</v>
      </c>
      <c r="M72" s="0" t="n">
        <v>0</v>
      </c>
      <c r="N72" s="0" t="n">
        <v>0</v>
      </c>
      <c r="O72" s="0" t="n">
        <v>0</v>
      </c>
      <c r="P72" s="0" t="n">
        <f aca="false">SUM(C72:O72)</f>
        <v>15</v>
      </c>
      <c r="Q72" s="0" t="n">
        <v>0</v>
      </c>
      <c r="R72" s="0" t="n">
        <v>0</v>
      </c>
      <c r="S72" s="0" t="n">
        <v>7</v>
      </c>
      <c r="T72" s="0" t="n">
        <v>2</v>
      </c>
      <c r="U72" s="0" t="n">
        <v>0</v>
      </c>
      <c r="V72" s="0" t="n">
        <v>0</v>
      </c>
      <c r="W72" s="0" t="n">
        <v>2</v>
      </c>
      <c r="X72" s="0" t="n">
        <v>0</v>
      </c>
      <c r="Y72" s="0" t="n">
        <v>1</v>
      </c>
      <c r="Z72" s="0" t="n">
        <v>2</v>
      </c>
      <c r="AA72" s="0" t="n">
        <v>0</v>
      </c>
      <c r="AB72" s="0" t="n">
        <v>0</v>
      </c>
      <c r="AC72" s="0" t="n">
        <v>0</v>
      </c>
      <c r="AD72" s="0" t="n">
        <f aca="false">SUM(Q72:AC72)</f>
        <v>14</v>
      </c>
    </row>
    <row r="73" customFormat="false" ht="15" hidden="false" customHeight="false" outlineLevel="0" collapsed="false">
      <c r="A73" s="0" t="s">
        <v>159</v>
      </c>
      <c r="B73" s="0" t="s">
        <v>160</v>
      </c>
      <c r="C73" s="0" t="n">
        <v>0</v>
      </c>
      <c r="D73" s="0" t="n">
        <v>0</v>
      </c>
      <c r="E73" s="0" t="n">
        <v>9</v>
      </c>
      <c r="F73" s="0" t="n">
        <v>1</v>
      </c>
      <c r="G73" s="0" t="n">
        <v>0</v>
      </c>
      <c r="H73" s="0" t="n">
        <v>0</v>
      </c>
      <c r="I73" s="0" t="n">
        <v>1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f aca="false">SUM(C73:O73)</f>
        <v>11</v>
      </c>
      <c r="Q73" s="0" t="n">
        <v>0</v>
      </c>
      <c r="R73" s="0" t="n">
        <v>1</v>
      </c>
      <c r="S73" s="0" t="n">
        <v>9</v>
      </c>
      <c r="T73" s="0" t="n">
        <v>1</v>
      </c>
      <c r="U73" s="0" t="n">
        <v>0</v>
      </c>
      <c r="V73" s="0" t="n">
        <v>0</v>
      </c>
      <c r="W73" s="0" t="n">
        <v>1</v>
      </c>
      <c r="X73" s="0" t="n">
        <v>0</v>
      </c>
      <c r="Y73" s="0" t="n">
        <v>0</v>
      </c>
      <c r="Z73" s="0" t="n">
        <v>0</v>
      </c>
      <c r="AA73" s="0" t="n">
        <v>0</v>
      </c>
      <c r="AB73" s="0" t="n">
        <v>0</v>
      </c>
      <c r="AC73" s="0" t="n">
        <v>0</v>
      </c>
      <c r="AD73" s="0" t="n">
        <f aca="false">SUM(Q73:AC73)</f>
        <v>12</v>
      </c>
    </row>
    <row r="74" customFormat="false" ht="15" hidden="false" customHeight="false" outlineLevel="0" collapsed="false">
      <c r="A74" s="0" t="s">
        <v>161</v>
      </c>
      <c r="B74" s="0" t="s">
        <v>162</v>
      </c>
      <c r="C74" s="0" t="n">
        <v>0</v>
      </c>
      <c r="D74" s="0" t="n">
        <v>0</v>
      </c>
      <c r="E74" s="0" t="n">
        <v>9</v>
      </c>
      <c r="F74" s="0" t="n">
        <v>0</v>
      </c>
      <c r="G74" s="0" t="n">
        <v>0</v>
      </c>
      <c r="H74" s="0" t="n">
        <v>0</v>
      </c>
      <c r="I74" s="0" t="n">
        <v>0</v>
      </c>
      <c r="J74" s="0" t="n">
        <v>0</v>
      </c>
      <c r="K74" s="0" t="n">
        <v>1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f aca="false">SUM(C74:O74)</f>
        <v>10</v>
      </c>
      <c r="Q74" s="0" t="n">
        <v>0</v>
      </c>
      <c r="R74" s="0" t="n">
        <v>0</v>
      </c>
      <c r="S74" s="0" t="n">
        <v>9</v>
      </c>
      <c r="T74" s="0" t="n">
        <v>0</v>
      </c>
      <c r="U74" s="0" t="n">
        <v>0</v>
      </c>
      <c r="V74" s="0" t="n">
        <v>0</v>
      </c>
      <c r="W74" s="0" t="n">
        <v>0</v>
      </c>
      <c r="X74" s="0" t="n">
        <v>0</v>
      </c>
      <c r="Y74" s="0" t="n">
        <v>1</v>
      </c>
      <c r="Z74" s="0" t="n">
        <v>0</v>
      </c>
      <c r="AA74" s="0" t="n">
        <v>0</v>
      </c>
      <c r="AB74" s="0" t="n">
        <v>0</v>
      </c>
      <c r="AC74" s="0" t="n">
        <v>0</v>
      </c>
      <c r="AD74" s="0" t="n">
        <f aca="false">SUM(Q74:AC74)</f>
        <v>10</v>
      </c>
    </row>
    <row r="75" customFormat="false" ht="15" hidden="false" customHeight="false" outlineLevel="0" collapsed="false">
      <c r="A75" s="0" t="s">
        <v>163</v>
      </c>
      <c r="B75" s="0" t="s">
        <v>164</v>
      </c>
      <c r="C75" s="0" t="n">
        <v>0</v>
      </c>
      <c r="D75" s="0" t="n">
        <v>0</v>
      </c>
      <c r="E75" s="0" t="n">
        <v>7</v>
      </c>
      <c r="F75" s="0" t="n">
        <v>2</v>
      </c>
      <c r="G75" s="0" t="n">
        <v>0</v>
      </c>
      <c r="H75" s="0" t="n">
        <v>0</v>
      </c>
      <c r="I75" s="0" t="n">
        <v>1</v>
      </c>
      <c r="J75" s="0" t="n">
        <v>0</v>
      </c>
      <c r="K75" s="0" t="n">
        <v>1</v>
      </c>
      <c r="L75" s="0" t="n">
        <v>0</v>
      </c>
      <c r="M75" s="0" t="n">
        <v>0</v>
      </c>
      <c r="N75" s="0" t="n">
        <v>0</v>
      </c>
      <c r="O75" s="0" t="n">
        <v>1</v>
      </c>
      <c r="P75" s="0" t="n">
        <f aca="false">SUM(C75:O75)</f>
        <v>12</v>
      </c>
      <c r="Q75" s="0" t="n">
        <v>0</v>
      </c>
      <c r="R75" s="0" t="n">
        <v>0</v>
      </c>
      <c r="S75" s="0" t="n">
        <v>7</v>
      </c>
      <c r="T75" s="0" t="n">
        <v>1</v>
      </c>
      <c r="U75" s="0" t="n">
        <v>0</v>
      </c>
      <c r="V75" s="0" t="n">
        <v>0</v>
      </c>
      <c r="W75" s="0" t="n">
        <v>0</v>
      </c>
      <c r="X75" s="0" t="n">
        <v>0</v>
      </c>
      <c r="Y75" s="0" t="n">
        <v>1</v>
      </c>
      <c r="Z75" s="0" t="n">
        <v>0</v>
      </c>
      <c r="AA75" s="0" t="n">
        <v>0</v>
      </c>
      <c r="AB75" s="0" t="n">
        <v>0</v>
      </c>
      <c r="AC75" s="0" t="n">
        <v>1</v>
      </c>
      <c r="AD75" s="0" t="n">
        <f aca="false">SUM(Q75:AC75)</f>
        <v>10</v>
      </c>
    </row>
    <row r="76" customFormat="false" ht="15" hidden="false" customHeight="false" outlineLevel="0" collapsed="false">
      <c r="A76" s="0" t="s">
        <v>165</v>
      </c>
      <c r="B76" s="0" t="s">
        <v>166</v>
      </c>
      <c r="C76" s="0" t="n">
        <v>0</v>
      </c>
      <c r="D76" s="0" t="n">
        <v>0</v>
      </c>
      <c r="E76" s="0" t="n">
        <v>27</v>
      </c>
      <c r="F76" s="0" t="n">
        <v>3</v>
      </c>
      <c r="G76" s="0" t="n">
        <v>0</v>
      </c>
      <c r="H76" s="0" t="n">
        <v>0</v>
      </c>
      <c r="I76" s="0" t="n">
        <v>6</v>
      </c>
      <c r="J76" s="0" t="n">
        <v>0</v>
      </c>
      <c r="K76" s="0" t="n">
        <v>1</v>
      </c>
      <c r="L76" s="0" t="n">
        <v>1</v>
      </c>
      <c r="M76" s="0" t="n">
        <v>0</v>
      </c>
      <c r="N76" s="0" t="n">
        <v>0</v>
      </c>
      <c r="O76" s="0" t="n">
        <v>0</v>
      </c>
      <c r="P76" s="0" t="n">
        <f aca="false">SUM(C76:O76)</f>
        <v>38</v>
      </c>
      <c r="Q76" s="0" t="n">
        <v>0</v>
      </c>
      <c r="R76" s="0" t="n">
        <v>0</v>
      </c>
      <c r="S76" s="0" t="n">
        <v>28</v>
      </c>
      <c r="T76" s="0" t="n">
        <v>3</v>
      </c>
      <c r="U76" s="0" t="n">
        <v>0</v>
      </c>
      <c r="V76" s="0" t="n">
        <v>0</v>
      </c>
      <c r="W76" s="0" t="n">
        <v>7</v>
      </c>
      <c r="X76" s="0" t="n">
        <v>0</v>
      </c>
      <c r="Y76" s="0" t="n">
        <v>1</v>
      </c>
      <c r="Z76" s="0" t="n">
        <v>1</v>
      </c>
      <c r="AA76" s="0" t="n">
        <v>0</v>
      </c>
      <c r="AB76" s="0" t="n">
        <v>0</v>
      </c>
      <c r="AC76" s="0" t="n">
        <v>0</v>
      </c>
      <c r="AD76" s="0" t="n">
        <f aca="false">SUM(Q76:AC76)</f>
        <v>40</v>
      </c>
    </row>
    <row r="77" customFormat="false" ht="15" hidden="false" customHeight="false" outlineLevel="0" collapsed="false">
      <c r="A77" s="0" t="s">
        <v>167</v>
      </c>
      <c r="B77" s="0" t="s">
        <v>168</v>
      </c>
      <c r="C77" s="0" t="n">
        <v>0</v>
      </c>
      <c r="D77" s="0" t="n">
        <v>0</v>
      </c>
      <c r="E77" s="0" t="n">
        <v>26</v>
      </c>
      <c r="F77" s="0" t="n">
        <v>2</v>
      </c>
      <c r="G77" s="0" t="n">
        <v>0</v>
      </c>
      <c r="H77" s="0" t="n">
        <v>1</v>
      </c>
      <c r="I77" s="0" t="n">
        <v>1</v>
      </c>
      <c r="J77" s="0" t="n">
        <v>1</v>
      </c>
      <c r="K77" s="0" t="n">
        <v>3</v>
      </c>
      <c r="L77" s="0" t="n">
        <v>2</v>
      </c>
      <c r="M77" s="0" t="n">
        <v>1</v>
      </c>
      <c r="N77" s="0" t="n">
        <v>2</v>
      </c>
      <c r="O77" s="0" t="n">
        <v>1</v>
      </c>
      <c r="P77" s="0" t="n">
        <f aca="false">SUM(C77:O77)</f>
        <v>40</v>
      </c>
      <c r="Q77" s="0" t="n">
        <v>0</v>
      </c>
      <c r="R77" s="0" t="n">
        <v>0</v>
      </c>
      <c r="S77" s="0" t="n">
        <v>24</v>
      </c>
      <c r="T77" s="0" t="n">
        <v>2</v>
      </c>
      <c r="U77" s="0" t="n">
        <v>0</v>
      </c>
      <c r="V77" s="0" t="n">
        <v>1</v>
      </c>
      <c r="W77" s="0" t="n">
        <v>1</v>
      </c>
      <c r="X77" s="0" t="n">
        <v>1</v>
      </c>
      <c r="Y77" s="0" t="n">
        <v>4</v>
      </c>
      <c r="Z77" s="0" t="n">
        <v>2</v>
      </c>
      <c r="AA77" s="0" t="n">
        <v>1</v>
      </c>
      <c r="AB77" s="0" t="n">
        <v>2</v>
      </c>
      <c r="AC77" s="0" t="n">
        <v>1</v>
      </c>
      <c r="AD77" s="0" t="n">
        <f aca="false">SUM(Q77:AC77)</f>
        <v>39</v>
      </c>
    </row>
    <row r="78" customFormat="false" ht="15" hidden="false" customHeight="false" outlineLevel="0" collapsed="false">
      <c r="A78" s="0" t="s">
        <v>169</v>
      </c>
      <c r="B78" s="0" t="s">
        <v>170</v>
      </c>
      <c r="C78" s="0" t="n">
        <v>0</v>
      </c>
      <c r="D78" s="0" t="n">
        <v>0</v>
      </c>
      <c r="E78" s="0" t="n">
        <v>1</v>
      </c>
      <c r="F78" s="0" t="n">
        <v>0</v>
      </c>
      <c r="G78" s="0" t="n">
        <v>0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f aca="false">SUM(C78:O78)</f>
        <v>1</v>
      </c>
      <c r="Q78" s="0" t="n">
        <v>0</v>
      </c>
      <c r="R78" s="0" t="n">
        <v>0</v>
      </c>
      <c r="S78" s="0" t="n">
        <v>1</v>
      </c>
      <c r="T78" s="0" t="n">
        <v>0</v>
      </c>
      <c r="U78" s="0" t="n">
        <v>0</v>
      </c>
      <c r="V78" s="0" t="n">
        <v>0</v>
      </c>
      <c r="W78" s="0" t="n">
        <v>0</v>
      </c>
      <c r="X78" s="0" t="n">
        <v>0</v>
      </c>
      <c r="Y78" s="0" t="n">
        <v>0</v>
      </c>
      <c r="Z78" s="0" t="n">
        <v>0</v>
      </c>
      <c r="AA78" s="0" t="n">
        <v>0</v>
      </c>
      <c r="AB78" s="0" t="n">
        <v>0</v>
      </c>
      <c r="AC78" s="0" t="n">
        <v>0</v>
      </c>
      <c r="AD78" s="0" t="n">
        <f aca="false">SUM(Q78:AC78)</f>
        <v>1</v>
      </c>
    </row>
    <row r="79" customFormat="false" ht="15" hidden="false" customHeight="false" outlineLevel="0" collapsed="false">
      <c r="A79" s="0" t="s">
        <v>171</v>
      </c>
      <c r="B79" s="0" t="s">
        <v>172</v>
      </c>
      <c r="C79" s="0" t="n">
        <v>0</v>
      </c>
      <c r="D79" s="0" t="n">
        <v>0</v>
      </c>
      <c r="E79" s="0" t="n">
        <v>1</v>
      </c>
      <c r="F79" s="0" t="n">
        <v>0</v>
      </c>
      <c r="G79" s="0" t="n">
        <v>0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f aca="false">SUM(C79:O79)</f>
        <v>1</v>
      </c>
      <c r="Q79" s="0" t="n">
        <v>0</v>
      </c>
      <c r="R79" s="0" t="n">
        <v>0</v>
      </c>
      <c r="S79" s="0" t="n">
        <v>1</v>
      </c>
      <c r="T79" s="0" t="n">
        <v>0</v>
      </c>
      <c r="U79" s="0" t="n">
        <v>0</v>
      </c>
      <c r="V79" s="0" t="n">
        <v>0</v>
      </c>
      <c r="W79" s="0" t="n">
        <v>0</v>
      </c>
      <c r="X79" s="0" t="n">
        <v>0</v>
      </c>
      <c r="Y79" s="0" t="n">
        <v>0</v>
      </c>
      <c r="Z79" s="0" t="n">
        <v>0</v>
      </c>
      <c r="AA79" s="0" t="n">
        <v>0</v>
      </c>
      <c r="AB79" s="0" t="n">
        <v>0</v>
      </c>
      <c r="AC79" s="0" t="n">
        <v>0</v>
      </c>
      <c r="AD79" s="0" t="n">
        <f aca="false">SUM(Q79:AC79)</f>
        <v>1</v>
      </c>
    </row>
    <row r="80" customFormat="false" ht="15" hidden="false" customHeight="false" outlineLevel="0" collapsed="false">
      <c r="A80" s="0" t="s">
        <v>173</v>
      </c>
      <c r="B80" s="0" t="s">
        <v>174</v>
      </c>
      <c r="C80" s="0" t="n">
        <v>0</v>
      </c>
      <c r="D80" s="0" t="n">
        <v>0</v>
      </c>
      <c r="E80" s="0" t="n">
        <v>2</v>
      </c>
      <c r="F80" s="0" t="n">
        <v>2</v>
      </c>
      <c r="G80" s="0" t="n">
        <v>0</v>
      </c>
      <c r="H80" s="0" t="n">
        <v>0</v>
      </c>
      <c r="I80" s="0" t="n">
        <v>0</v>
      </c>
      <c r="J80" s="0" t="n">
        <v>0</v>
      </c>
      <c r="K80" s="0" t="n">
        <v>1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f aca="false">SUM(C80:O80)</f>
        <v>5</v>
      </c>
      <c r="Q80" s="0" t="n">
        <v>0</v>
      </c>
      <c r="R80" s="0" t="n">
        <v>0</v>
      </c>
      <c r="S80" s="0" t="n">
        <v>2</v>
      </c>
      <c r="T80" s="0" t="n">
        <v>2</v>
      </c>
      <c r="U80" s="0" t="n">
        <v>0</v>
      </c>
      <c r="V80" s="0" t="n">
        <v>0</v>
      </c>
      <c r="W80" s="0" t="n">
        <v>0</v>
      </c>
      <c r="X80" s="0" t="n">
        <v>0</v>
      </c>
      <c r="Y80" s="0" t="n">
        <v>1</v>
      </c>
      <c r="Z80" s="0" t="n">
        <v>0</v>
      </c>
      <c r="AA80" s="0" t="n">
        <v>0</v>
      </c>
      <c r="AB80" s="0" t="n">
        <v>0</v>
      </c>
      <c r="AC80" s="0" t="n">
        <v>0</v>
      </c>
      <c r="AD80" s="0" t="n">
        <f aca="false">SUM(Q80:AC80)</f>
        <v>5</v>
      </c>
    </row>
    <row r="81" customFormat="false" ht="15" hidden="false" customHeight="false" outlineLevel="0" collapsed="false">
      <c r="A81" s="0" t="s">
        <v>175</v>
      </c>
      <c r="B81" s="0" t="s">
        <v>176</v>
      </c>
      <c r="C81" s="0" t="n">
        <v>1</v>
      </c>
      <c r="D81" s="0" t="n">
        <v>0</v>
      </c>
      <c r="E81" s="0" t="n">
        <v>28</v>
      </c>
      <c r="F81" s="0" t="n">
        <v>11</v>
      </c>
      <c r="G81" s="0" t="n">
        <v>0</v>
      </c>
      <c r="H81" s="0" t="n">
        <v>4</v>
      </c>
      <c r="I81" s="0" t="n">
        <v>6</v>
      </c>
      <c r="J81" s="0" t="n">
        <v>0</v>
      </c>
      <c r="K81" s="0" t="n">
        <v>2</v>
      </c>
      <c r="L81" s="0" t="n">
        <v>3</v>
      </c>
      <c r="M81" s="0" t="n">
        <v>0</v>
      </c>
      <c r="N81" s="0" t="n">
        <v>0</v>
      </c>
      <c r="O81" s="0" t="n">
        <v>1</v>
      </c>
      <c r="P81" s="0" t="n">
        <f aca="false">SUM(C81:O81)</f>
        <v>56</v>
      </c>
      <c r="Q81" s="0" t="n">
        <v>1</v>
      </c>
      <c r="R81" s="0" t="n">
        <v>0</v>
      </c>
      <c r="S81" s="0" t="n">
        <v>26</v>
      </c>
      <c r="T81" s="0" t="n">
        <v>11</v>
      </c>
      <c r="U81" s="0" t="n">
        <v>0</v>
      </c>
      <c r="V81" s="0" t="n">
        <v>3</v>
      </c>
      <c r="W81" s="0" t="n">
        <v>5</v>
      </c>
      <c r="X81" s="0" t="n">
        <v>0</v>
      </c>
      <c r="Y81" s="0" t="n">
        <v>2</v>
      </c>
      <c r="Z81" s="0" t="n">
        <v>3</v>
      </c>
      <c r="AA81" s="0" t="n">
        <v>0</v>
      </c>
      <c r="AB81" s="0" t="n">
        <v>0</v>
      </c>
      <c r="AC81" s="0" t="n">
        <v>1</v>
      </c>
      <c r="AD81" s="0" t="n">
        <f aca="false">SUM(Q81:AC81)</f>
        <v>52</v>
      </c>
    </row>
    <row r="82" customFormat="false" ht="15" hidden="false" customHeight="false" outlineLevel="0" collapsed="false">
      <c r="A82" s="0" t="s">
        <v>177</v>
      </c>
      <c r="B82" s="0" t="s">
        <v>178</v>
      </c>
      <c r="C82" s="0" t="n">
        <v>0</v>
      </c>
      <c r="D82" s="0" t="n">
        <v>0</v>
      </c>
      <c r="E82" s="0" t="n">
        <v>14</v>
      </c>
      <c r="F82" s="0" t="n">
        <v>1</v>
      </c>
      <c r="G82" s="0" t="n">
        <v>0</v>
      </c>
      <c r="H82" s="0" t="n">
        <v>0</v>
      </c>
      <c r="I82" s="0" t="n">
        <v>3</v>
      </c>
      <c r="J82" s="0" t="n">
        <v>0</v>
      </c>
      <c r="K82" s="0" t="n">
        <v>1</v>
      </c>
      <c r="L82" s="0" t="n">
        <v>0</v>
      </c>
      <c r="M82" s="0" t="n">
        <v>0</v>
      </c>
      <c r="N82" s="0" t="n">
        <v>2</v>
      </c>
      <c r="O82" s="0" t="n">
        <v>0</v>
      </c>
      <c r="P82" s="0" t="n">
        <f aca="false">SUM(C82:O82)</f>
        <v>21</v>
      </c>
      <c r="Q82" s="0" t="n">
        <v>0</v>
      </c>
      <c r="R82" s="0" t="n">
        <v>0</v>
      </c>
      <c r="S82" s="0" t="n">
        <v>12</v>
      </c>
      <c r="T82" s="0" t="n">
        <v>1</v>
      </c>
      <c r="U82" s="0" t="n">
        <v>0</v>
      </c>
      <c r="V82" s="0" t="n">
        <v>0</v>
      </c>
      <c r="W82" s="0" t="n">
        <v>3</v>
      </c>
      <c r="X82" s="0" t="n">
        <v>0</v>
      </c>
      <c r="Y82" s="0" t="n">
        <v>0</v>
      </c>
      <c r="Z82" s="0" t="n">
        <v>0</v>
      </c>
      <c r="AA82" s="0" t="n">
        <v>0</v>
      </c>
      <c r="AB82" s="0" t="n">
        <v>2</v>
      </c>
      <c r="AC82" s="0" t="n">
        <v>0</v>
      </c>
      <c r="AD82" s="0" t="n">
        <f aca="false">SUM(Q82:AC82)</f>
        <v>18</v>
      </c>
    </row>
    <row r="83" customFormat="false" ht="15" hidden="false" customHeight="false" outlineLevel="0" collapsed="false">
      <c r="A83" s="0" t="s">
        <v>179</v>
      </c>
      <c r="B83" s="0" t="s">
        <v>180</v>
      </c>
      <c r="C83" s="0" t="n">
        <v>0</v>
      </c>
      <c r="D83" s="0" t="n">
        <v>0</v>
      </c>
      <c r="E83" s="0" t="n">
        <v>3</v>
      </c>
      <c r="F83" s="0" t="n">
        <v>0</v>
      </c>
      <c r="G83" s="0" t="n">
        <v>0</v>
      </c>
      <c r="H83" s="0" t="n">
        <v>0</v>
      </c>
      <c r="I83" s="0" t="n">
        <v>1</v>
      </c>
      <c r="J83" s="0" t="n">
        <v>0</v>
      </c>
      <c r="K83" s="0" t="n">
        <v>1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f aca="false">SUM(C83:O83)</f>
        <v>5</v>
      </c>
      <c r="Q83" s="0" t="n">
        <v>0</v>
      </c>
      <c r="R83" s="0" t="n">
        <v>0</v>
      </c>
      <c r="S83" s="0" t="n">
        <v>3</v>
      </c>
      <c r="T83" s="0" t="n">
        <v>0</v>
      </c>
      <c r="U83" s="0" t="n">
        <v>0</v>
      </c>
      <c r="V83" s="0" t="n">
        <v>0</v>
      </c>
      <c r="W83" s="0" t="n">
        <v>1</v>
      </c>
      <c r="X83" s="0" t="n">
        <v>0</v>
      </c>
      <c r="Y83" s="0" t="n">
        <v>1</v>
      </c>
      <c r="Z83" s="0" t="n">
        <v>0</v>
      </c>
      <c r="AA83" s="0" t="n">
        <v>0</v>
      </c>
      <c r="AB83" s="0" t="n">
        <v>0</v>
      </c>
      <c r="AC83" s="0" t="n">
        <v>0</v>
      </c>
      <c r="AD83" s="0" t="n">
        <f aca="false">SUM(Q83:AC83)</f>
        <v>5</v>
      </c>
    </row>
    <row r="84" customFormat="false" ht="15" hidden="false" customHeight="false" outlineLevel="0" collapsed="false">
      <c r="A84" s="0" t="s">
        <v>181</v>
      </c>
      <c r="B84" s="0" t="s">
        <v>182</v>
      </c>
      <c r="C84" s="0" t="n">
        <v>1</v>
      </c>
      <c r="D84" s="0" t="n">
        <v>0</v>
      </c>
      <c r="E84" s="0" t="n">
        <v>62</v>
      </c>
      <c r="F84" s="0" t="n">
        <v>4</v>
      </c>
      <c r="G84" s="0" t="n">
        <v>0</v>
      </c>
      <c r="H84" s="0" t="n">
        <v>0</v>
      </c>
      <c r="I84" s="0" t="n">
        <v>4</v>
      </c>
      <c r="J84" s="0" t="n">
        <v>0</v>
      </c>
      <c r="K84" s="0" t="n">
        <v>1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f aca="false">SUM(C84:O84)</f>
        <v>72</v>
      </c>
      <c r="Q84" s="0" t="n">
        <v>0</v>
      </c>
      <c r="R84" s="0" t="n">
        <v>0</v>
      </c>
      <c r="S84" s="0" t="n">
        <v>70</v>
      </c>
      <c r="T84" s="0" t="n">
        <v>4</v>
      </c>
      <c r="U84" s="0" t="n">
        <v>0</v>
      </c>
      <c r="V84" s="0" t="n">
        <v>0</v>
      </c>
      <c r="W84" s="0" t="n">
        <v>4</v>
      </c>
      <c r="X84" s="0" t="n">
        <v>1</v>
      </c>
      <c r="Y84" s="0" t="n">
        <v>1</v>
      </c>
      <c r="Z84" s="0" t="n">
        <v>0</v>
      </c>
      <c r="AA84" s="0" t="n">
        <v>0</v>
      </c>
      <c r="AB84" s="0" t="n">
        <v>0</v>
      </c>
      <c r="AC84" s="0" t="n">
        <v>0</v>
      </c>
      <c r="AD84" s="0" t="n">
        <f aca="false">SUM(Q84:AC84)</f>
        <v>80</v>
      </c>
    </row>
    <row r="85" customFormat="false" ht="15" hidden="false" customHeight="false" outlineLevel="0" collapsed="false">
      <c r="A85" s="0" t="s">
        <v>183</v>
      </c>
      <c r="B85" s="0" t="s">
        <v>184</v>
      </c>
      <c r="C85" s="0" t="n">
        <v>2</v>
      </c>
      <c r="D85" s="0" t="n">
        <v>3</v>
      </c>
      <c r="E85" s="0" t="n">
        <v>71</v>
      </c>
      <c r="F85" s="0" t="n">
        <v>15</v>
      </c>
      <c r="G85" s="0" t="n">
        <v>0</v>
      </c>
      <c r="H85" s="0" t="n">
        <v>6</v>
      </c>
      <c r="I85" s="0" t="n">
        <v>3</v>
      </c>
      <c r="J85" s="0" t="n">
        <v>0</v>
      </c>
      <c r="K85" s="0" t="n">
        <v>8</v>
      </c>
      <c r="L85" s="0" t="n">
        <v>5</v>
      </c>
      <c r="M85" s="0" t="n">
        <v>0</v>
      </c>
      <c r="N85" s="0" t="n">
        <v>0</v>
      </c>
      <c r="O85" s="0" t="n">
        <v>2</v>
      </c>
      <c r="P85" s="0" t="n">
        <f aca="false">SUM(C85:O85)</f>
        <v>115</v>
      </c>
      <c r="Q85" s="0" t="n">
        <v>1</v>
      </c>
      <c r="R85" s="0" t="n">
        <v>3</v>
      </c>
      <c r="S85" s="0" t="n">
        <v>75</v>
      </c>
      <c r="T85" s="0" t="n">
        <v>15</v>
      </c>
      <c r="U85" s="0" t="n">
        <v>0</v>
      </c>
      <c r="V85" s="0" t="n">
        <v>6</v>
      </c>
      <c r="W85" s="0" t="n">
        <v>5</v>
      </c>
      <c r="X85" s="0" t="n">
        <v>0</v>
      </c>
      <c r="Y85" s="0" t="n">
        <v>8</v>
      </c>
      <c r="Z85" s="0" t="n">
        <v>2</v>
      </c>
      <c r="AA85" s="0" t="n">
        <v>0</v>
      </c>
      <c r="AB85" s="0" t="n">
        <v>0</v>
      </c>
      <c r="AC85" s="0" t="n">
        <v>2</v>
      </c>
      <c r="AD85" s="0" t="n">
        <f aca="false">SUM(Q85:AC85)</f>
        <v>117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2026-10-08T19:18:25Z</dcterms:created>
  <dc:creator>openpyxl</dc:creator>
  <dc:description/>
  <dc:language>en-US</dc:language>
  <cp:lastModifiedBy/>
  <dcterms:modified xsi:type="dcterms:W3CDTF">2026-10-08T19:18:25Z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